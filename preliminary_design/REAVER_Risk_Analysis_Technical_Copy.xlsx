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ogo\Downloads\DSE\DSE_Python\"/>
    </mc:Choice>
  </mc:AlternateContent>
  <xr:revisionPtr revIDLastSave="0" documentId="13_ncr:1_{1FF947B6-4A30-4B15-B018-84A3C16DE874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isk Register" sheetId="1" r:id="rId1"/>
    <sheet name="Risk Summary" sheetId="4" r:id="rId2"/>
    <sheet name="Pre-Mitigation Map" sheetId="2" r:id="rId3"/>
    <sheet name="Post-Mitigation Ma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J31" i="4"/>
  <c r="I31" i="4"/>
  <c r="D31" i="4"/>
  <c r="C31" i="4"/>
  <c r="B31" i="4"/>
  <c r="A31" i="4"/>
  <c r="J30" i="4"/>
  <c r="I30" i="4"/>
  <c r="D30" i="4"/>
  <c r="C30" i="4"/>
  <c r="B30" i="4"/>
  <c r="A30" i="4"/>
  <c r="J29" i="4"/>
  <c r="I29" i="4"/>
  <c r="E29" i="4"/>
  <c r="D29" i="4"/>
  <c r="C29" i="4"/>
  <c r="B29" i="4"/>
  <c r="A29" i="4"/>
  <c r="J28" i="4"/>
  <c r="I28" i="4"/>
  <c r="E28" i="4"/>
  <c r="D28" i="4"/>
  <c r="C28" i="4"/>
  <c r="B28" i="4"/>
  <c r="A28" i="4"/>
  <c r="J27" i="4"/>
  <c r="I27" i="4"/>
  <c r="E27" i="4"/>
  <c r="D27" i="4"/>
  <c r="C27" i="4"/>
  <c r="B27" i="4"/>
  <c r="A27" i="4"/>
  <c r="J26" i="4"/>
  <c r="I26" i="4"/>
  <c r="D26" i="4"/>
  <c r="C26" i="4"/>
  <c r="B26" i="4"/>
  <c r="A26" i="4"/>
  <c r="J25" i="4"/>
  <c r="I25" i="4"/>
  <c r="E25" i="4"/>
  <c r="D25" i="4"/>
  <c r="C25" i="4"/>
  <c r="B25" i="4"/>
  <c r="A25" i="4"/>
  <c r="J24" i="4"/>
  <c r="I24" i="4"/>
  <c r="D24" i="4"/>
  <c r="C24" i="4"/>
  <c r="B24" i="4"/>
  <c r="A24" i="4"/>
  <c r="J23" i="4"/>
  <c r="I23" i="4"/>
  <c r="D23" i="4"/>
  <c r="C23" i="4"/>
  <c r="B23" i="4"/>
  <c r="A23" i="4"/>
  <c r="J22" i="4"/>
  <c r="I22" i="4"/>
  <c r="E22" i="4"/>
  <c r="D22" i="4"/>
  <c r="C22" i="4"/>
  <c r="B22" i="4"/>
  <c r="A22" i="4"/>
  <c r="J21" i="4"/>
  <c r="I21" i="4"/>
  <c r="D21" i="4"/>
  <c r="C21" i="4"/>
  <c r="B21" i="4"/>
  <c r="A21" i="4"/>
  <c r="J20" i="4"/>
  <c r="I20" i="4"/>
  <c r="F20" i="4"/>
  <c r="E20" i="4"/>
  <c r="D20" i="4"/>
  <c r="C20" i="4"/>
  <c r="B20" i="4"/>
  <c r="A20" i="4"/>
  <c r="J19" i="4"/>
  <c r="I19" i="4"/>
  <c r="F19" i="4"/>
  <c r="D19" i="4"/>
  <c r="C19" i="4"/>
  <c r="B19" i="4"/>
  <c r="A19" i="4"/>
  <c r="J18" i="4"/>
  <c r="I18" i="4"/>
  <c r="E18" i="4"/>
  <c r="D18" i="4"/>
  <c r="C18" i="4"/>
  <c r="B18" i="4"/>
  <c r="A18" i="4"/>
  <c r="J17" i="4"/>
  <c r="I17" i="4"/>
  <c r="E17" i="4"/>
  <c r="D17" i="4"/>
  <c r="C17" i="4"/>
  <c r="B17" i="4"/>
  <c r="A17" i="4"/>
  <c r="J16" i="4"/>
  <c r="I16" i="4"/>
  <c r="E16" i="4"/>
  <c r="D16" i="4"/>
  <c r="C16" i="4"/>
  <c r="B16" i="4"/>
  <c r="A16" i="4"/>
  <c r="J15" i="4"/>
  <c r="I15" i="4"/>
  <c r="E15" i="4"/>
  <c r="D15" i="4"/>
  <c r="C15" i="4"/>
  <c r="B15" i="4"/>
  <c r="A15" i="4"/>
  <c r="J14" i="4"/>
  <c r="I14" i="4"/>
  <c r="D14" i="4"/>
  <c r="C14" i="4"/>
  <c r="B14" i="4"/>
  <c r="A14" i="4"/>
  <c r="J13" i="4"/>
  <c r="I13" i="4"/>
  <c r="D13" i="4"/>
  <c r="C13" i="4"/>
  <c r="B13" i="4"/>
  <c r="A13" i="4"/>
  <c r="J12" i="4"/>
  <c r="I12" i="4"/>
  <c r="E12" i="4"/>
  <c r="D12" i="4"/>
  <c r="C12" i="4"/>
  <c r="B12" i="4"/>
  <c r="A12" i="4"/>
  <c r="J11" i="4"/>
  <c r="I11" i="4"/>
  <c r="E11" i="4"/>
  <c r="D11" i="4"/>
  <c r="C11" i="4"/>
  <c r="B11" i="4"/>
  <c r="A11" i="4"/>
  <c r="J10" i="4"/>
  <c r="I10" i="4"/>
  <c r="E10" i="4"/>
  <c r="D10" i="4"/>
  <c r="C10" i="4"/>
  <c r="B10" i="4"/>
  <c r="A10" i="4"/>
  <c r="J9" i="4"/>
  <c r="I9" i="4"/>
  <c r="E9" i="4"/>
  <c r="D9" i="4"/>
  <c r="C9" i="4"/>
  <c r="B9" i="4"/>
  <c r="A9" i="4"/>
  <c r="J8" i="4"/>
  <c r="I8" i="4"/>
  <c r="E8" i="4"/>
  <c r="D8" i="4"/>
  <c r="C8" i="4"/>
  <c r="B8" i="4"/>
  <c r="A8" i="4"/>
  <c r="J7" i="4"/>
  <c r="I7" i="4"/>
  <c r="D7" i="4"/>
  <c r="C7" i="4"/>
  <c r="B7" i="4"/>
  <c r="A7" i="4"/>
  <c r="J6" i="4"/>
  <c r="I6" i="4"/>
  <c r="E6" i="4"/>
  <c r="D6" i="4"/>
  <c r="C6" i="4"/>
  <c r="B6" i="4"/>
  <c r="A6" i="4"/>
  <c r="J5" i="4"/>
  <c r="I5" i="4"/>
  <c r="D5" i="4"/>
  <c r="C5" i="4"/>
  <c r="B5" i="4"/>
  <c r="A5" i="4"/>
  <c r="J4" i="4"/>
  <c r="I4" i="4"/>
  <c r="F4" i="4"/>
  <c r="E4" i="4"/>
  <c r="D4" i="4"/>
  <c r="C4" i="4"/>
  <c r="B4" i="4"/>
  <c r="A4" i="4"/>
  <c r="J3" i="4"/>
  <c r="I3" i="4"/>
  <c r="F3" i="4"/>
  <c r="E3" i="4"/>
  <c r="D3" i="4"/>
  <c r="C3" i="4"/>
  <c r="B3" i="4"/>
  <c r="A3" i="4"/>
  <c r="J2" i="4"/>
  <c r="I2" i="4"/>
  <c r="E2" i="4"/>
  <c r="D2" i="4"/>
  <c r="C2" i="4"/>
  <c r="B2" i="4"/>
  <c r="A2" i="4"/>
  <c r="E25" i="1"/>
  <c r="F25" i="1" s="1"/>
  <c r="F25" i="4" s="1"/>
  <c r="E31" i="1"/>
  <c r="F31" i="1" s="1"/>
  <c r="F31" i="4" s="1"/>
  <c r="E30" i="1"/>
  <c r="F30" i="1" s="1"/>
  <c r="F30" i="4" s="1"/>
  <c r="E29" i="1"/>
  <c r="F29" i="1" s="1"/>
  <c r="F29" i="4" s="1"/>
  <c r="E28" i="1"/>
  <c r="F28" i="1" s="1"/>
  <c r="F28" i="4" s="1"/>
  <c r="E27" i="1"/>
  <c r="F27" i="1" s="1"/>
  <c r="F27" i="4" s="1"/>
  <c r="E3" i="1"/>
  <c r="F3" i="1" s="1"/>
  <c r="E4" i="1"/>
  <c r="F4" i="1" s="1"/>
  <c r="E5" i="1"/>
  <c r="F5" i="1" s="1"/>
  <c r="F5" i="4" s="1"/>
  <c r="E6" i="1"/>
  <c r="F6" i="1" s="1"/>
  <c r="F6" i="4" s="1"/>
  <c r="E7" i="1"/>
  <c r="F7" i="1" s="1"/>
  <c r="F7" i="4" s="1"/>
  <c r="E8" i="1"/>
  <c r="F8" i="1" s="1"/>
  <c r="F8" i="4" s="1"/>
  <c r="E9" i="1"/>
  <c r="F9" i="1" s="1"/>
  <c r="F9" i="4" s="1"/>
  <c r="E10" i="1"/>
  <c r="F10" i="1" s="1"/>
  <c r="F10" i="4" s="1"/>
  <c r="E11" i="1"/>
  <c r="F11" i="1" s="1"/>
  <c r="F11" i="4" s="1"/>
  <c r="E12" i="1"/>
  <c r="F12" i="1" s="1"/>
  <c r="F12" i="4" s="1"/>
  <c r="E13" i="1"/>
  <c r="E13" i="4" s="1"/>
  <c r="E14" i="1"/>
  <c r="F14" i="1" s="1"/>
  <c r="F14" i="4" s="1"/>
  <c r="E15" i="1"/>
  <c r="F15" i="1" s="1"/>
  <c r="F15" i="4" s="1"/>
  <c r="E16" i="1"/>
  <c r="F16" i="1" s="1"/>
  <c r="F16" i="4" s="1"/>
  <c r="E17" i="1"/>
  <c r="F17" i="1" s="1"/>
  <c r="F17" i="4" s="1"/>
  <c r="E18" i="1"/>
  <c r="F18" i="1" s="1"/>
  <c r="F18" i="4" s="1"/>
  <c r="E19" i="1"/>
  <c r="F19" i="1" s="1"/>
  <c r="E20" i="1"/>
  <c r="F20" i="1" s="1"/>
  <c r="E21" i="1"/>
  <c r="F21" i="1" s="1"/>
  <c r="F21" i="4" s="1"/>
  <c r="E22" i="1"/>
  <c r="F22" i="1" s="1"/>
  <c r="F22" i="4" s="1"/>
  <c r="E23" i="1"/>
  <c r="F23" i="1" s="1"/>
  <c r="F23" i="4" s="1"/>
  <c r="E24" i="1"/>
  <c r="F24" i="1" s="1"/>
  <c r="F24" i="4" s="1"/>
  <c r="E26" i="1"/>
  <c r="F26" i="1" s="1"/>
  <c r="F26" i="4" s="1"/>
  <c r="E2" i="1"/>
  <c r="F2" i="1" s="1"/>
  <c r="F2" i="4" s="1"/>
  <c r="E30" i="4" l="1"/>
  <c r="E24" i="4"/>
  <c r="F13" i="1"/>
  <c r="F13" i="4" s="1"/>
  <c r="E26" i="4"/>
  <c r="E14" i="4"/>
  <c r="E5" i="4"/>
  <c r="E7" i="4"/>
  <c r="E19" i="4"/>
  <c r="E21" i="4"/>
  <c r="E23" i="4"/>
  <c r="E31" i="4"/>
</calcChain>
</file>

<file path=xl/sharedStrings.xml><?xml version="1.0" encoding="utf-8"?>
<sst xmlns="http://schemas.openxmlformats.org/spreadsheetml/2006/main" count="193" uniqueCount="158">
  <si>
    <t>ID</t>
  </si>
  <si>
    <t>Risk Description</t>
  </si>
  <si>
    <t>Mitigation
(preventive)</t>
  </si>
  <si>
    <t>Contingency
(reactive)</t>
  </si>
  <si>
    <t>R-04</t>
  </si>
  <si>
    <t>R-07</t>
  </si>
  <si>
    <t>R-08</t>
  </si>
  <si>
    <t>Legend:</t>
  </si>
  <si>
    <t>Low (1–4)</t>
  </si>
  <si>
    <t>Medium (5–9)</t>
  </si>
  <si>
    <t>High (10–16)</t>
  </si>
  <si>
    <t>Critical (20–25)</t>
  </si>
  <si>
    <t>Pre-Mitigation Risk Map — REAVER DSE</t>
  </si>
  <si>
    <t>L \ C</t>
  </si>
  <si>
    <t>C1</t>
  </si>
  <si>
    <t>C2</t>
  </si>
  <si>
    <t>C3</t>
  </si>
  <si>
    <t>C4</t>
  </si>
  <si>
    <t>C5</t>
  </si>
  <si>
    <t>L5</t>
  </si>
  <si>
    <t>L4</t>
  </si>
  <si>
    <t>R-01
R-02</t>
  </si>
  <si>
    <t>L3</t>
  </si>
  <si>
    <t>R-05
R-09</t>
  </si>
  <si>
    <t>R-03
R-06
R-10</t>
  </si>
  <si>
    <t>L2</t>
  </si>
  <si>
    <t>L1</t>
  </si>
  <si>
    <t>← Consequence (C) →</t>
  </si>
  <si>
    <t>Post-Mitigation Risk Map — REAVER DSE</t>
  </si>
  <si>
    <t>R-01
R-02
R-05
R-08
R-09</t>
  </si>
  <si>
    <t>TR-01</t>
  </si>
  <si>
    <t>TR-02</t>
  </si>
  <si>
    <t>TR-03</t>
  </si>
  <si>
    <t>TR-04</t>
  </si>
  <si>
    <t>TR-05</t>
  </si>
  <si>
    <t>TR-06</t>
  </si>
  <si>
    <t>TR-07</t>
  </si>
  <si>
    <t>TR-08</t>
  </si>
  <si>
    <t>Pre-L (1–5)</t>
  </si>
  <si>
    <t>Pre-C (1–5)</t>
  </si>
  <si>
    <t>Pre-Score (L×C)</t>
  </si>
  <si>
    <t>Pre-Severity</t>
  </si>
  <si>
    <t>Capture mechanism fails to secure tumbling target (1 rpm about arbitrary axis)</t>
  </si>
  <si>
    <t>Propellant depletion before completion of all 5 capture missions</t>
  </si>
  <si>
    <t>Navigation sensor failure during final approach (range &lt; 10 m) causes position error exceeding 1 m</t>
  </si>
  <si>
    <t>TR-09</t>
  </si>
  <si>
    <t>TR-10</t>
  </si>
  <si>
    <t>TR-11</t>
  </si>
  <si>
    <t>Solar panel damage during contact with tumbling target reduces power by &gt; 50%</t>
  </si>
  <si>
    <t>TR-12</t>
  </si>
  <si>
    <t>TR-13</t>
  </si>
  <si>
    <t>TR-14</t>
  </si>
  <si>
    <t>TR-15</t>
  </si>
  <si>
    <t>TR-16</t>
  </si>
  <si>
    <t>TR-17</t>
  </si>
  <si>
    <t>Electrostatic discharge (ESD) event due to GEO plasma charging damages electronics or proximity sensors</t>
  </si>
  <si>
    <t>TR-18</t>
  </si>
  <si>
    <t>Residual toxic or reactive propellant in target spacecraft creates hazard during disassembly operations</t>
  </si>
  <si>
    <t>TR-19</t>
  </si>
  <si>
    <t>TR-20</t>
  </si>
  <si>
    <t>TR-21</t>
  </si>
  <si>
    <t>TR-22</t>
  </si>
  <si>
    <t>TR-23</t>
  </si>
  <si>
    <t>TR-24</t>
  </si>
  <si>
    <t>GNC mode transition failure (transfer→RPO→capture→departure) leaves spacecraft in undefined state</t>
  </si>
  <si>
    <t>TR-25</t>
  </si>
  <si>
    <t>Launch vehicle anomaly or delay results in loss of spacecraft or failure to reach target GEO orbit</t>
  </si>
  <si>
    <t>Thermal control failure causes electronics or propellants to exceed operational temperature range</t>
  </si>
  <si>
    <t>Micrometeoroid or orbital debris impact penetrates propulsion in GEO graveyard environment</t>
  </si>
  <si>
    <t>Communication blackout during a critical autonomous sequence causes loss of ground override capability</t>
  </si>
  <si>
    <t>Target spacecraft misidentified prior to capture, causing a failed grapple or structural overload</t>
  </si>
  <si>
    <t>Low Technology Readiness Level (TRL) of critical enabling technologies (capture mechanism, disassembly tool) at mission development start</t>
  </si>
  <si>
    <t>Total mission cost exceeds the €500 Million boundary due to technology development overruns</t>
  </si>
  <si>
    <t>Collision with an active GEO spacecraft during transfer or Rendezvous and Proximity Operations (RPO)</t>
  </si>
  <si>
    <t>GEO radiation-induced damage to the onboard computer, causing software corruption</t>
  </si>
  <si>
    <t>Star tracker blinding by the Sun, Moon or Earth during an eclipse transition causes loss of attitude knowledge</t>
  </si>
  <si>
    <t>Autonomous Failure Management (AFM) failure during close-proximity operations (range &lt; 100 m) leads to a collision with the target</t>
  </si>
  <si>
    <t>Propulsion failure during critical phase: Loss of the main propulsion system during
approach.</t>
  </si>
  <si>
    <t>Timeline extension: Additional approach attempts, or corrections, may significantly extend the overall mission duration and resource use</t>
  </si>
  <si>
    <t>Thruster Exhaust Contact: Hot exhaust gases emitted during proximity operations melt or structurally weaken target surfaces, leading to fragmentation or unpredictable attitude dynamics that prevent successful capture.</t>
  </si>
  <si>
    <t>TR-26</t>
  </si>
  <si>
    <t>TR-27</t>
  </si>
  <si>
    <t>TR-28</t>
  </si>
  <si>
    <t>TR-29</t>
  </si>
  <si>
    <t>TR-30</t>
  </si>
  <si>
    <t>Unknown or unexpected centre-of-mass offset in captured debris causes uncontrolled attitude divergence of the combined system during transport</t>
  </si>
  <si>
    <t>Recycling hub loses station-keeping capability and drifts from its operational position, preventing tug rendezvous and debris handover</t>
  </si>
  <si>
    <t>Docking mechanism fails during tug return to recycling hub with debris attached, preventing debris handover and blocking subsequent capture cycles</t>
  </si>
  <si>
    <t>Structural fragmentation of target spacecraft during capture due to undetected material fatigue or microcracking, generating secondary debris</t>
  </si>
  <si>
    <t>Ground mission operations centre failure causes extended loss of spacecraft commanding and telemetry monitoring during an active operational phase</t>
  </si>
  <si>
    <t>Hold position and switch to backup sensor chain; if error persists, retreat to 100 m, recalibrate, and re-approach; escalate to ground for teleoperated final approach if available.</t>
  </si>
  <si>
    <t>Extend de-tumble window using RCS thrusters in addition to wheels; if still insufficient, release target via controlled separation and reattempt capture after re-planning.</t>
  </si>
  <si>
    <t>Activate descope: reduce number of capture attempts per target or skip lowest-priority target; renegotiate ground resources and operator availability to recover schedule.</t>
  </si>
  <si>
    <t>Claim insurance and procure replacement launch slot; if spacecraft lost, restart procurement on revised schedule; if delay only, hold spacecraft in storage with periodic checks.</t>
  </si>
  <si>
    <t>Redundant docking mechanism with soft-capture and hard-capture stages; extensive on-ground docking qualification; pre-docking alignment via vision system with abort thresholds.</t>
  </si>
  <si>
    <t>Retry docking up to N attempts with adjusted approach; if persistent failure, tug carries debris directly to graveyard orbit and releases there, ending capture cycle.</t>
  </si>
  <si>
    <t>Pre-capture inspection via high-resolution imaging to detect surface fatigue/cracks; gentle, distributed grasp loads; load monitoring during capture with abort thresholds.</t>
  </si>
  <si>
    <t>Spacecraft continues on stored timeline or enters safe-hold past autonomy window; activate backup MOC; resume nominal commanding once link and operations are restored.</t>
  </si>
  <si>
    <t>Abort capture sequence and retreat to safe hold point (&gt;50 m); re-characterise target tumble; attempt secondary capture with adjusted alternative grappling settings; if repeated failure, mark target as non-recoverable and proceed to next.</t>
  </si>
  <si>
    <t>Redundant navigation architecture (LIDAR + stereo cameras + flash imager) with cross-checking; calibrate sensors pre-approach; define abort triggers on position error &gt;0.3 m.</t>
  </si>
  <si>
    <t>Active thermal control with redundant heaters/radiators; Multi-Layer Insulation (MLI) on critical components; thermal model validated by Thermal Vacuum (TVAC) testing; temperature margins ≥10 °C against operational limits.</t>
  </si>
  <si>
    <t>Debris generation during disassembly (fragments &gt; 1 cm released into GEO belt) - Recycling Hub</t>
  </si>
  <si>
    <t>Enter thermal safe mode: reorient spacecraft to balance solar input, dispose of non-critical loads, activate survival heaters; resume operations after temperatures stabilise within limits.</t>
  </si>
  <si>
    <t>Switch to backup propulsion system; if unavailable, use (Reaction Control System) RCS for safe retreat manoeuvre; place spacecraft in stable hold orbit and assess recovery options from ground.</t>
  </si>
  <si>
    <t>EOL spacecraft remains in GEO protected zone (35,586–35,986 km) after mission end instead of being transferred to the Recycling Hub</t>
  </si>
  <si>
    <t>If primary EOL transfer burn fails, execute transfer using residual Reaction Control System (RCS) propellant in multiple smaller burns; if still unable to reach the hub, raise orbit to graveyard zone (≥300 km above GEO) and notify regulators.</t>
  </si>
  <si>
    <t>Use low-energy cutting tools within an enclosed capture cage to contain any loose pieces; design and test the disassembly process to minimise fragment release.</t>
  </si>
  <si>
    <t>Stop disassembly immediately on debris detection; deploy debris-containment net (capture fragments); use onboard cameras to track fragments.</t>
  </si>
  <si>
    <t>Implement triple-redundant AFM with independent sensor chains (LIDAR, camera); extensive simulation of failure modes.</t>
  </si>
  <si>
    <t>Trigger autonomous collision-avoidance manoeuvre (CAM) to retreat to safe distance; switch to backup AFM; resume only after ground confirmation; if both backups fail, abort to manoeuvre.</t>
  </si>
  <si>
    <t>Reprioritise remaining captures based on value/proximity; skip lowest-priority target(s).</t>
  </si>
  <si>
    <t>Conservative ΔV budget with ≥20 % margin; optimised mission sequencing to minimise transfers; high-Isp electric propulsion for orbit raising.</t>
  </si>
  <si>
    <t>Dual-propulsion (main) system with isolatable branches; pre-burn tests; conservative duty cycles; redundant thrusters.</t>
  </si>
  <si>
    <t>Reserve dedicated end-of-life ΔV to transfer the spacecraft to the Recycling Hub at mission end; maintain hub rendezvous capability throughout mission life.</t>
  </si>
  <si>
    <t>Shielding (MLI) over propellant tanks; redundant tank isolation valves; orbit selection minimising debris exposure; periodic leak detection via pressure sensors.</t>
  </si>
  <si>
    <t>Isolate affected propellant branch via valves; switch to redundant tank; reduce remaining mission scope to match available propellant; escalate to graveyard disposal if leak uncontained.</t>
  </si>
  <si>
    <t>Pre-loaded autonomous safe-state behaviour for any comm loss &gt;X minutes; redundant Telemetry, Tracking &amp; Command (TT&amp;C) systems (S-band + backup); use of multiple ground stations and relay satellites during critical ops.</t>
  </si>
  <si>
    <t>Spacecraft autonomously enters safe hold and aborts active sequence; ground re-establishes link via secondary station/antenna; resume operations only after full check and state verification.</t>
  </si>
  <si>
    <t>Foldable solar arrays retracted during contact phases; protective shielding over cells facing target; capture geometry analysis to keep arrays clear of contact zones.</t>
  </si>
  <si>
    <t>Reconfigure power management: dispose of non-essential loads, throttle electric propulsion, prioritise survival systems; reorient remaining array area for max insolation (amount of sunlight hitting the solar panels); adjust mission scope to match available power.</t>
  </si>
  <si>
    <t xml:space="preserve">Geographically redundant primary and backup Mission Operations Centre (MOC); rehearsed handover procedures; spacecraft autonomy sized to operate ≥48 h without ground contact. </t>
  </si>
  <si>
    <t>Pre-mission target catalogue verification using ground radar/optical and onboard imagery; ID confirmation via multiple features (shape, radio signal) before committing to capture; ground approval required.</t>
  </si>
  <si>
    <t>Abort capture before mechanical contact; retreat to safe distance (&gt;100 m); re-image and re-identify target; if confirmed wrong, abandon engagement and proceed to next valid target.</t>
  </si>
  <si>
    <t>Early technology readiness raising programme with Engineering Model (EM) and Qualification Model (QM) milestones; parallel technology paths for highest-risk items (capture, disassembly); ESA funding to mature technology to TRL 6 (SEAD guideline) before Preliminary Design Review (PDR).</t>
  </si>
  <si>
    <t>Coordinate trajectory with operators of nearby active GEO spacecraft; collision risk assesement; enforce keep-out zones; CAM capability always armed.</t>
  </si>
  <si>
    <t>Trigger fallback technology selected at PDR; alter mission objectives (e.g., capture only, no disassembly) to match achieved TRL; alter schedule and budget with sponsor accordingly.</t>
  </si>
  <si>
    <t>Execute pre-planned collision-avoidance manoeuvre on warning; notify operator and regulators; re-plan rendezvous timeline once safe.</t>
  </si>
  <si>
    <t>Cost baseline with ≥20 % margin; monthly budget tracking to compare planned vs actual cost and schedule progress; reconsider options identified in advance and tied to cost triggers.</t>
  </si>
  <si>
    <t>Re-evaluate scope; seek additional funding from ESA/partners; if unavailable, terminate at next mission step with controlled disposal.</t>
  </si>
  <si>
    <t>Use a radiation-resistant processor and memory; periodic memory backup and refresh; shielded electronics box.</t>
  </si>
  <si>
    <t>Autonomous reboot to last known good state; switch to redundant computer system; reload software image from protected storage; ground-commanded recovery if autonomous recovery fails.</t>
  </si>
  <si>
    <t>Check target propellant state (operator records); planned disassembly sequence to avoid propellant tanks.</t>
  </si>
  <si>
    <t>Stop disassembly on leak detection; retreat to safe distance (TBD); reassess viability and either resume with revised plan or abandon target.</t>
  </si>
  <si>
    <r>
      <t xml:space="preserve">ADCS lacks sufficient torque to de-tumble the combined spacecraft+target body within a 30-minute window </t>
    </r>
    <r>
      <rPr>
        <b/>
        <sz val="11"/>
        <color theme="1"/>
        <rFont val="Calibri"/>
        <family val="2"/>
      </rPr>
      <t>(can change the time interval just randomish realistic time set)</t>
    </r>
  </si>
  <si>
    <t>Size ADCS reaction wheels and thrusters with ≥30 % torque margin against worst-case combined inertia; characterise target inertia pre-capture via observed tumble characteristics.</t>
  </si>
  <si>
    <t>On fragmentation detection, stop capture, retreat with capture cage closed to contain fragments; track and characterise debris; release contained fragments at recycling hub.</t>
  </si>
  <si>
    <t>Hub designed with redundant station-keeping propulsion; periodic orbit-determination from ground; reserve propellant margin ≥25 %; collision-avoidance autonomy (Use of CAMs).</t>
  </si>
  <si>
    <t>Tug holds debris; while ground commands hub recovery using backup thrusters; if hub unrecoverable, tug performs direct graveyard disposal of debris.</t>
  </si>
  <si>
    <t>Estimate target CoM from design data and pre-capture observation; conservative attitude rate limits during transport.</t>
  </si>
  <si>
    <t>Engage RCS to damp divergence; if uncontrollable, release target into stable disposal orbit and continue mission without it.</t>
  </si>
  <si>
    <t>Select reliable launcher with proven GEO record; insurance coverage for launch and early ops; secondary launch opportunity identified in case of delay.</t>
  </si>
  <si>
    <r>
      <t xml:space="preserve">On-board storage structure for extracted components fails under repeated GEO thermal cycling (-180 to +150 °C) </t>
    </r>
    <r>
      <rPr>
        <b/>
        <sz val="11"/>
        <color theme="1"/>
        <rFont val="Calibri"/>
        <family val="2"/>
      </rPr>
      <t>RANGE OF TEMPREATURES GOD DID</t>
    </r>
  </si>
  <si>
    <t>Schedule reserve of ≥30 % at mission level; pre-approved replan templates for common anomalies.</t>
  </si>
  <si>
    <t>Spacecraft falls into predefined safe-hold mode on an undefined state; ground analyses telemetry, uploads the recovery sequence, and recommands the transition step-by-step.</t>
  </si>
  <si>
    <t>Storage rack qualified to GEO thermal cycling (-180/+150 °C) over mission life ×1.5 (margin); material selection with matched Coefficient of Thermal Expansion (CTE); periodic structural health monitoring via strain sensors.</t>
  </si>
  <si>
    <t>Restrain affected stored components via backup tie-down mechanism; replan disposal with reduced storage capacity; if structural integrity compromised, dispose of contents to the recycling hub.</t>
  </si>
  <si>
    <t>Model thruster exhaust to define minimum safe standoff distances; use low-thrust RCS during proximity ops; cold-gas thrusters for final approach where feasible.</t>
  </si>
  <si>
    <t>Stop thrusting and drift to a safe distance; reassess target integrity via imaging; if surface damage is observed, abandon the target and report fragmentation to regulators.</t>
  </si>
  <si>
    <t>GNC mode-transition logic with state machine verified by model checking; hardware-in-the-loop (HIL) testing of all transition paths, including failures; ground operations checking at each transition.</t>
  </si>
  <si>
    <t>Reset affected sensor/electronics; switch to redundant unit; pause proximity ops until charging conditions return (post-eclipse); validate sensor health before resuming approach.</t>
  </si>
  <si>
    <t>Conductive surface coatings and straps to prevent differential charging; ESD-protected circuits on sensors.</t>
  </si>
  <si>
    <t>Two independent star tracker units; Sun/Earth/Moon exclusion angles in attitude planner; eclipse-aware attitude profile.</t>
  </si>
  <si>
    <t>Inertial Measurement Unit (IMU) maintains attitude through the blinding interval; on recovery, re-acquire attitude on the second tracker and verify before resuming ops; if attitude knowledge is lost, enter sun-pointing safe-hold and recover from ground.</t>
  </si>
  <si>
    <t>Post-L (1–5)</t>
  </si>
  <si>
    <t>Post-C (1–5)</t>
  </si>
  <si>
    <t>Post-Score (L×C)</t>
  </si>
  <si>
    <t>Post-Severity</t>
  </si>
  <si>
    <t>Design capture mechanism with wide compliance (tolerant to ≥2 rpm, multi-axis tumble); perform Light Detection and Ranging (LIDAR) based motion characterisation prior to grappling.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</si>
</sst>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276221"/>
      <name val="Arial"/>
      <charset val="1"/>
    </font>
    <font>
      <b/>
      <sz val="9"/>
      <color rgb="FF9C6500"/>
      <name val="Arial"/>
      <charset val="1"/>
    </font>
    <font>
      <b/>
      <sz val="9"/>
      <color rgb="FF833C00"/>
      <name val="Arial"/>
      <charset val="1"/>
    </font>
    <font>
      <b/>
      <sz val="9"/>
      <color rgb="FF9C0006"/>
      <name val="Arial"/>
      <charset val="1"/>
    </font>
    <font>
      <sz val="8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9C0006"/>
      <name val="Arial"/>
      <family val="2"/>
    </font>
    <font>
      <b/>
      <sz val="10"/>
      <color rgb="FF833C00"/>
      <name val="Arial"/>
      <family val="2"/>
    </font>
    <font>
      <b/>
      <sz val="10"/>
      <color rgb="FF9C6500"/>
      <name val="Arial"/>
      <family val="2"/>
    </font>
    <font>
      <b/>
      <sz val="10"/>
      <color rgb="FF000000"/>
      <name val="Arial"/>
      <family val="2"/>
    </font>
    <font>
      <b/>
      <sz val="10"/>
      <color rgb="FF27622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b/>
      <sz val="10"/>
      <color rgb="FF9C6500"/>
      <name val="Arial"/>
    </font>
    <font>
      <b/>
      <sz val="10"/>
      <color rgb="FF276221"/>
      <name val="Arial"/>
    </font>
    <font>
      <b/>
      <sz val="10"/>
      <color rgb="FF833C00"/>
      <name val="Arial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BD0"/>
        <bgColor rgb="FFF2F2F2"/>
      </patternFill>
    </fill>
    <fill>
      <patternFill patternType="solid">
        <fgColor rgb="FFFFEB9C"/>
        <bgColor rgb="FFFCEBD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CEBD0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CEBD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left"/>
    </xf>
    <xf numFmtId="0" fontId="16" fillId="13" borderId="3" xfId="0" applyFont="1" applyFill="1" applyBorder="1" applyAlignment="1">
      <alignment horizontal="center"/>
    </xf>
    <xf numFmtId="0" fontId="14" fillId="12" borderId="3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left" wrapText="1"/>
    </xf>
    <xf numFmtId="0" fontId="12" fillId="10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top" wrapText="1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9" fillId="9" borderId="1" xfId="0" applyFont="1" applyFill="1" applyBorder="1" applyAlignment="1">
      <alignment horizontal="left" wrapText="1"/>
    </xf>
    <xf numFmtId="0" fontId="19" fillId="9" borderId="1" xfId="0" applyFont="1" applyFill="1" applyBorder="1" applyAlignment="1">
      <alignment horizontal="center"/>
    </xf>
    <xf numFmtId="0" fontId="11" fillId="14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left" vertical="top" wrapText="1"/>
    </xf>
    <xf numFmtId="0" fontId="19" fillId="8" borderId="2" xfId="0" applyFont="1" applyFill="1" applyBorder="1" applyAlignment="1">
      <alignment vertical="top" wrapText="1"/>
    </xf>
    <xf numFmtId="0" fontId="19" fillId="9" borderId="2" xfId="0" applyFont="1" applyFill="1" applyBorder="1" applyAlignment="1">
      <alignment horizontal="left" vertical="top" wrapText="1"/>
    </xf>
    <xf numFmtId="0" fontId="19" fillId="9" borderId="2" xfId="0" applyFont="1" applyFill="1" applyBorder="1" applyAlignment="1">
      <alignment vertical="top" wrapText="1"/>
    </xf>
    <xf numFmtId="0" fontId="19" fillId="8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0" fontId="19" fillId="9" borderId="2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19" fillId="15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833C00"/>
      </font>
      <fill>
        <patternFill patternType="solid">
          <fgColor indexed="64"/>
          <bgColor rgb="FFFCEBD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276221"/>
      </font>
      <fill>
        <patternFill patternType="solid">
          <fgColor indexed="64"/>
          <bgColor rgb="FFC6EFCE"/>
        </patternFill>
      </fill>
    </dxf>
    <dxf>
      <font>
        <b/>
        <i val="0"/>
        <color rgb="FF9C6500"/>
      </font>
      <fill>
        <patternFill patternType="solid">
          <fgColor indexed="64"/>
          <bgColor rgb="FFFFEB9C"/>
        </patternFill>
      </fill>
    </dxf>
    <dxf>
      <font>
        <b/>
        <i val="0"/>
        <color rgb="FF833C00"/>
      </font>
      <fill>
        <patternFill patternType="solid">
          <fgColor indexed="64"/>
          <bgColor rgb="FFFCEBD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CEBD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0431F-4232-4F3F-BE63-208F211CA6E7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34e2806e-3d52-4ee9-a6ae-6bc9efb0f84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zoomScale="54" zoomScaleNormal="40" workbookViewId="0">
      <pane ySplit="1" topLeftCell="A2" activePane="bottomLeft" state="frozen"/>
      <selection pane="bottomLeft" activeCell="G2" sqref="G2"/>
    </sheetView>
  </sheetViews>
  <sheetFormatPr defaultColWidth="8.6328125" defaultRowHeight="14.5" x14ac:dyDescent="0.35"/>
  <cols>
    <col min="1" max="1" width="9.08984375" customWidth="1"/>
    <col min="2" max="2" width="69.08984375" customWidth="1"/>
    <col min="3" max="6" width="13.6328125" customWidth="1"/>
    <col min="7" max="8" width="50.90625" customWidth="1"/>
    <col min="11" max="11" width="8.6328125" customWidth="1"/>
    <col min="12" max="12" width="10.54296875" customWidth="1"/>
  </cols>
  <sheetData>
    <row r="1" spans="1:12" ht="41.5" customHeight="1" x14ac:dyDescent="0.35">
      <c r="A1" s="48" t="s">
        <v>0</v>
      </c>
      <c r="B1" s="48" t="s">
        <v>1</v>
      </c>
      <c r="C1" s="48" t="s">
        <v>38</v>
      </c>
      <c r="D1" s="48" t="s">
        <v>39</v>
      </c>
      <c r="E1" s="48" t="s">
        <v>40</v>
      </c>
      <c r="F1" s="48" t="s">
        <v>41</v>
      </c>
      <c r="G1" s="48" t="s">
        <v>2</v>
      </c>
      <c r="H1" s="48" t="s">
        <v>3</v>
      </c>
      <c r="I1" s="48" t="s">
        <v>153</v>
      </c>
      <c r="J1" s="48" t="s">
        <v>154</v>
      </c>
      <c r="K1" s="48" t="s">
        <v>155</v>
      </c>
      <c r="L1" s="48" t="s">
        <v>156</v>
      </c>
    </row>
    <row r="2" spans="1:12" ht="60" customHeight="1" x14ac:dyDescent="0.35">
      <c r="A2" s="49" t="s">
        <v>30</v>
      </c>
      <c r="B2" s="21" t="s">
        <v>42</v>
      </c>
      <c r="C2" s="20">
        <v>4</v>
      </c>
      <c r="D2" s="20">
        <v>5</v>
      </c>
      <c r="E2" s="22">
        <f>C2*D2</f>
        <v>20</v>
      </c>
      <c r="F2" s="22" t="str">
        <f>IF(E2&gt;=20,"Critical",IF(E2&gt;=10,"High",IF(E2&gt;=5,"Medium","Low")))</f>
        <v>Critical</v>
      </c>
      <c r="G2" s="23" t="s">
        <v>157</v>
      </c>
      <c r="H2" s="23" t="s">
        <v>98</v>
      </c>
      <c r="I2" s="42">
        <v>2</v>
      </c>
      <c r="J2" s="42">
        <v>5</v>
      </c>
      <c r="K2" s="45">
        <f t="shared" ref="K2:K31" si="0">I2*J2</f>
        <v>10</v>
      </c>
      <c r="L2" s="45" t="str">
        <f t="shared" ref="L2:L31" si="1">IF(K2&gt;=20,"Critical",IF(K2&gt;=10,"High",IF(K2&gt;=5,"Medium","Low")))</f>
        <v>High</v>
      </c>
    </row>
    <row r="3" spans="1:12" ht="60" customHeight="1" x14ac:dyDescent="0.35">
      <c r="A3" s="49" t="s">
        <v>31</v>
      </c>
      <c r="B3" s="25" t="s">
        <v>101</v>
      </c>
      <c r="C3" s="24">
        <v>3</v>
      </c>
      <c r="D3" s="24">
        <v>5</v>
      </c>
      <c r="E3" s="26">
        <f t="shared" ref="E3:E31" si="2">C3*D3</f>
        <v>15</v>
      </c>
      <c r="F3" s="26" t="str">
        <f t="shared" ref="F3:F31" si="3">IF(E3&gt;=20,"Critical",IF(E3&gt;=10,"High",IF(E3&gt;=5,"Medium","Low")))</f>
        <v>High</v>
      </c>
      <c r="G3" s="23" t="s">
        <v>106</v>
      </c>
      <c r="H3" s="23" t="s">
        <v>107</v>
      </c>
      <c r="I3" s="42">
        <v>2</v>
      </c>
      <c r="J3" s="42">
        <v>4</v>
      </c>
      <c r="K3" s="43">
        <f t="shared" si="0"/>
        <v>8</v>
      </c>
      <c r="L3" s="43" t="str">
        <f t="shared" si="1"/>
        <v>Medium</v>
      </c>
    </row>
    <row r="4" spans="1:12" ht="60" customHeight="1" x14ac:dyDescent="0.35">
      <c r="A4" s="49" t="s">
        <v>32</v>
      </c>
      <c r="B4" s="21" t="s">
        <v>76</v>
      </c>
      <c r="C4" s="20">
        <v>3</v>
      </c>
      <c r="D4" s="20">
        <v>5</v>
      </c>
      <c r="E4" s="26">
        <f t="shared" si="2"/>
        <v>15</v>
      </c>
      <c r="F4" s="26" t="str">
        <f t="shared" si="3"/>
        <v>High</v>
      </c>
      <c r="G4" s="23" t="s">
        <v>108</v>
      </c>
      <c r="H4" s="23" t="s">
        <v>109</v>
      </c>
      <c r="I4" s="42">
        <v>2</v>
      </c>
      <c r="J4" s="42">
        <v>5</v>
      </c>
      <c r="K4" s="45">
        <f t="shared" si="0"/>
        <v>10</v>
      </c>
      <c r="L4" s="45" t="str">
        <f t="shared" si="1"/>
        <v>High</v>
      </c>
    </row>
    <row r="5" spans="1:12" ht="60" customHeight="1" x14ac:dyDescent="0.35">
      <c r="A5" s="49" t="s">
        <v>33</v>
      </c>
      <c r="B5" s="25" t="s">
        <v>43</v>
      </c>
      <c r="C5" s="24">
        <v>3</v>
      </c>
      <c r="D5" s="24">
        <v>4</v>
      </c>
      <c r="E5" s="26">
        <f t="shared" si="2"/>
        <v>12</v>
      </c>
      <c r="F5" s="26" t="str">
        <f t="shared" si="3"/>
        <v>High</v>
      </c>
      <c r="G5" s="23" t="s">
        <v>111</v>
      </c>
      <c r="H5" s="23" t="s">
        <v>110</v>
      </c>
      <c r="I5" s="42">
        <v>2</v>
      </c>
      <c r="J5" s="42">
        <v>4</v>
      </c>
      <c r="K5" s="43">
        <f t="shared" si="0"/>
        <v>8</v>
      </c>
      <c r="L5" s="43" t="str">
        <f t="shared" si="1"/>
        <v>Medium</v>
      </c>
    </row>
    <row r="6" spans="1:12" ht="60" customHeight="1" x14ac:dyDescent="0.35">
      <c r="A6" s="49" t="s">
        <v>34</v>
      </c>
      <c r="B6" s="21" t="s">
        <v>44</v>
      </c>
      <c r="C6" s="20">
        <v>3</v>
      </c>
      <c r="D6" s="20">
        <v>4</v>
      </c>
      <c r="E6" s="26">
        <f t="shared" si="2"/>
        <v>12</v>
      </c>
      <c r="F6" s="26" t="str">
        <f t="shared" si="3"/>
        <v>High</v>
      </c>
      <c r="G6" s="23" t="s">
        <v>99</v>
      </c>
      <c r="H6" s="23" t="s">
        <v>90</v>
      </c>
      <c r="I6" s="42">
        <v>2</v>
      </c>
      <c r="J6" s="42">
        <v>4</v>
      </c>
      <c r="K6" s="43">
        <f t="shared" si="0"/>
        <v>8</v>
      </c>
      <c r="L6" s="43" t="str">
        <f t="shared" si="1"/>
        <v>Medium</v>
      </c>
    </row>
    <row r="7" spans="1:12" ht="60" customHeight="1" x14ac:dyDescent="0.35">
      <c r="A7" s="49" t="s">
        <v>35</v>
      </c>
      <c r="B7" s="25" t="s">
        <v>67</v>
      </c>
      <c r="C7" s="24">
        <v>2</v>
      </c>
      <c r="D7" s="24">
        <v>4</v>
      </c>
      <c r="E7" s="27">
        <f t="shared" si="2"/>
        <v>8</v>
      </c>
      <c r="F7" s="27" t="str">
        <f t="shared" si="3"/>
        <v>Medium</v>
      </c>
      <c r="G7" s="23" t="s">
        <v>100</v>
      </c>
      <c r="H7" s="23" t="s">
        <v>102</v>
      </c>
      <c r="I7" s="42">
        <v>1</v>
      </c>
      <c r="J7" s="42">
        <v>4</v>
      </c>
      <c r="K7" s="44">
        <f t="shared" si="0"/>
        <v>4</v>
      </c>
      <c r="L7" s="44" t="str">
        <f t="shared" si="1"/>
        <v>Low</v>
      </c>
    </row>
    <row r="8" spans="1:12" ht="60" customHeight="1" x14ac:dyDescent="0.35">
      <c r="A8" s="49" t="s">
        <v>36</v>
      </c>
      <c r="B8" s="21" t="s">
        <v>77</v>
      </c>
      <c r="C8" s="20">
        <v>2</v>
      </c>
      <c r="D8" s="20">
        <v>5</v>
      </c>
      <c r="E8" s="26">
        <f t="shared" si="2"/>
        <v>10</v>
      </c>
      <c r="F8" s="26" t="str">
        <f t="shared" si="3"/>
        <v>High</v>
      </c>
      <c r="G8" s="23" t="s">
        <v>112</v>
      </c>
      <c r="H8" s="23" t="s">
        <v>103</v>
      </c>
      <c r="I8" s="42">
        <v>1</v>
      </c>
      <c r="J8" s="42">
        <v>5</v>
      </c>
      <c r="K8" s="43">
        <f t="shared" si="0"/>
        <v>5</v>
      </c>
      <c r="L8" s="43" t="str">
        <f t="shared" si="1"/>
        <v>Medium</v>
      </c>
    </row>
    <row r="9" spans="1:12" ht="60" customHeight="1" x14ac:dyDescent="0.35">
      <c r="A9" s="49" t="s">
        <v>37</v>
      </c>
      <c r="B9" s="25" t="s">
        <v>104</v>
      </c>
      <c r="C9" s="24">
        <v>2</v>
      </c>
      <c r="D9" s="24">
        <v>5</v>
      </c>
      <c r="E9" s="26">
        <f t="shared" si="2"/>
        <v>10</v>
      </c>
      <c r="F9" s="26" t="str">
        <f t="shared" si="3"/>
        <v>High</v>
      </c>
      <c r="G9" s="23" t="s">
        <v>113</v>
      </c>
      <c r="H9" s="23" t="s">
        <v>105</v>
      </c>
      <c r="I9" s="42">
        <v>1</v>
      </c>
      <c r="J9" s="42">
        <v>5</v>
      </c>
      <c r="K9" s="43">
        <f t="shared" si="0"/>
        <v>5</v>
      </c>
      <c r="L9" s="43" t="str">
        <f t="shared" si="1"/>
        <v>Medium</v>
      </c>
    </row>
    <row r="10" spans="1:12" ht="60" customHeight="1" x14ac:dyDescent="0.35">
      <c r="A10" s="49" t="s">
        <v>45</v>
      </c>
      <c r="B10" s="21" t="s">
        <v>68</v>
      </c>
      <c r="C10" s="20">
        <v>2</v>
      </c>
      <c r="D10" s="20">
        <v>4</v>
      </c>
      <c r="E10" s="27">
        <f t="shared" si="2"/>
        <v>8</v>
      </c>
      <c r="F10" s="27" t="str">
        <f t="shared" si="3"/>
        <v>Medium</v>
      </c>
      <c r="G10" s="23" t="s">
        <v>114</v>
      </c>
      <c r="H10" s="23" t="s">
        <v>115</v>
      </c>
      <c r="I10" s="42">
        <v>1</v>
      </c>
      <c r="J10" s="42">
        <v>4</v>
      </c>
      <c r="K10" s="44">
        <f t="shared" si="0"/>
        <v>4</v>
      </c>
      <c r="L10" s="44" t="str">
        <f t="shared" si="1"/>
        <v>Low</v>
      </c>
    </row>
    <row r="11" spans="1:12" ht="60" customHeight="1" x14ac:dyDescent="0.35">
      <c r="A11" s="49" t="s">
        <v>46</v>
      </c>
      <c r="B11" s="25" t="s">
        <v>69</v>
      </c>
      <c r="C11" s="24">
        <v>3</v>
      </c>
      <c r="D11" s="24">
        <v>3</v>
      </c>
      <c r="E11" s="27">
        <f t="shared" si="2"/>
        <v>9</v>
      </c>
      <c r="F11" s="27" t="str">
        <f t="shared" si="3"/>
        <v>Medium</v>
      </c>
      <c r="G11" s="23" t="s">
        <v>116</v>
      </c>
      <c r="H11" s="23" t="s">
        <v>117</v>
      </c>
      <c r="I11" s="42">
        <v>2</v>
      </c>
      <c r="J11" s="42">
        <v>3</v>
      </c>
      <c r="K11" s="43">
        <f t="shared" si="0"/>
        <v>6</v>
      </c>
      <c r="L11" s="43" t="str">
        <f t="shared" si="1"/>
        <v>Medium</v>
      </c>
    </row>
    <row r="12" spans="1:12" ht="60" customHeight="1" x14ac:dyDescent="0.35">
      <c r="A12" s="49" t="s">
        <v>47</v>
      </c>
      <c r="B12" s="21" t="s">
        <v>48</v>
      </c>
      <c r="C12" s="20">
        <v>3</v>
      </c>
      <c r="D12" s="20">
        <v>4</v>
      </c>
      <c r="E12" s="26">
        <f t="shared" si="2"/>
        <v>12</v>
      </c>
      <c r="F12" s="26" t="str">
        <f t="shared" si="3"/>
        <v>High</v>
      </c>
      <c r="G12" s="23" t="s">
        <v>118</v>
      </c>
      <c r="H12" s="23" t="s">
        <v>119</v>
      </c>
      <c r="I12" s="42">
        <v>2</v>
      </c>
      <c r="J12" s="42">
        <v>4</v>
      </c>
      <c r="K12" s="43">
        <f t="shared" si="0"/>
        <v>8</v>
      </c>
      <c r="L12" s="43" t="str">
        <f t="shared" si="1"/>
        <v>Medium</v>
      </c>
    </row>
    <row r="13" spans="1:12" ht="60" customHeight="1" x14ac:dyDescent="0.35">
      <c r="A13" s="49" t="s">
        <v>49</v>
      </c>
      <c r="B13" s="25" t="s">
        <v>70</v>
      </c>
      <c r="C13" s="24">
        <v>3</v>
      </c>
      <c r="D13" s="24">
        <v>4</v>
      </c>
      <c r="E13" s="26">
        <f t="shared" si="2"/>
        <v>12</v>
      </c>
      <c r="F13" s="26" t="str">
        <f t="shared" si="3"/>
        <v>High</v>
      </c>
      <c r="G13" s="23" t="s">
        <v>121</v>
      </c>
      <c r="H13" s="23" t="s">
        <v>122</v>
      </c>
      <c r="I13" s="42">
        <v>2</v>
      </c>
      <c r="J13" s="42">
        <v>4</v>
      </c>
      <c r="K13" s="43">
        <f t="shared" si="0"/>
        <v>8</v>
      </c>
      <c r="L13" s="43" t="str">
        <f t="shared" si="1"/>
        <v>Medium</v>
      </c>
    </row>
    <row r="14" spans="1:12" ht="91" customHeight="1" x14ac:dyDescent="0.35">
      <c r="A14" s="49" t="s">
        <v>50</v>
      </c>
      <c r="B14" s="21" t="s">
        <v>71</v>
      </c>
      <c r="C14" s="20">
        <v>4</v>
      </c>
      <c r="D14" s="20">
        <v>4</v>
      </c>
      <c r="E14" s="26">
        <f t="shared" si="2"/>
        <v>16</v>
      </c>
      <c r="F14" s="26" t="str">
        <f t="shared" si="3"/>
        <v>High</v>
      </c>
      <c r="G14" s="23" t="s">
        <v>123</v>
      </c>
      <c r="H14" s="23" t="s">
        <v>125</v>
      </c>
      <c r="I14" s="42">
        <v>2</v>
      </c>
      <c r="J14" s="42">
        <v>4</v>
      </c>
      <c r="K14" s="43">
        <f t="shared" si="0"/>
        <v>8</v>
      </c>
      <c r="L14" s="43" t="str">
        <f t="shared" si="1"/>
        <v>Medium</v>
      </c>
    </row>
    <row r="15" spans="1:12" ht="60" customHeight="1" x14ac:dyDescent="0.35">
      <c r="A15" s="49" t="s">
        <v>51</v>
      </c>
      <c r="B15" s="25" t="s">
        <v>73</v>
      </c>
      <c r="C15" s="24">
        <v>2</v>
      </c>
      <c r="D15" s="24">
        <v>5</v>
      </c>
      <c r="E15" s="26">
        <f t="shared" si="2"/>
        <v>10</v>
      </c>
      <c r="F15" s="26" t="str">
        <f t="shared" si="3"/>
        <v>High</v>
      </c>
      <c r="G15" s="23" t="s">
        <v>124</v>
      </c>
      <c r="H15" s="23" t="s">
        <v>126</v>
      </c>
      <c r="I15" s="42">
        <v>1</v>
      </c>
      <c r="J15" s="42">
        <v>5</v>
      </c>
      <c r="K15" s="43">
        <f t="shared" si="0"/>
        <v>5</v>
      </c>
      <c r="L15" s="43" t="str">
        <f t="shared" si="1"/>
        <v>Medium</v>
      </c>
    </row>
    <row r="16" spans="1:12" ht="60" customHeight="1" x14ac:dyDescent="0.35">
      <c r="A16" s="49" t="s">
        <v>52</v>
      </c>
      <c r="B16" s="21" t="s">
        <v>72</v>
      </c>
      <c r="C16" s="20">
        <v>3</v>
      </c>
      <c r="D16" s="20">
        <v>4</v>
      </c>
      <c r="E16" s="26">
        <f t="shared" si="2"/>
        <v>12</v>
      </c>
      <c r="F16" s="26" t="str">
        <f t="shared" si="3"/>
        <v>High</v>
      </c>
      <c r="G16" s="23" t="s">
        <v>127</v>
      </c>
      <c r="H16" s="23" t="s">
        <v>128</v>
      </c>
      <c r="I16" s="42">
        <v>2</v>
      </c>
      <c r="J16" s="42">
        <v>4</v>
      </c>
      <c r="K16" s="43">
        <f t="shared" si="0"/>
        <v>8</v>
      </c>
      <c r="L16" s="43" t="str">
        <f t="shared" si="1"/>
        <v>Medium</v>
      </c>
    </row>
    <row r="17" spans="1:12" ht="60" customHeight="1" x14ac:dyDescent="0.35">
      <c r="A17" s="49" t="s">
        <v>53</v>
      </c>
      <c r="B17" s="25" t="s">
        <v>74</v>
      </c>
      <c r="C17" s="24">
        <v>3</v>
      </c>
      <c r="D17" s="24">
        <v>4</v>
      </c>
      <c r="E17" s="26">
        <f t="shared" si="2"/>
        <v>12</v>
      </c>
      <c r="F17" s="26" t="str">
        <f t="shared" si="3"/>
        <v>High</v>
      </c>
      <c r="G17" s="23" t="s">
        <v>129</v>
      </c>
      <c r="H17" s="23" t="s">
        <v>130</v>
      </c>
      <c r="I17" s="42">
        <v>2</v>
      </c>
      <c r="J17" s="42">
        <v>4</v>
      </c>
      <c r="K17" s="43">
        <f t="shared" si="0"/>
        <v>8</v>
      </c>
      <c r="L17" s="43" t="str">
        <f t="shared" si="1"/>
        <v>Medium</v>
      </c>
    </row>
    <row r="18" spans="1:12" ht="60" customHeight="1" x14ac:dyDescent="0.35">
      <c r="A18" s="49" t="s">
        <v>54</v>
      </c>
      <c r="B18" s="21" t="s">
        <v>55</v>
      </c>
      <c r="C18" s="20">
        <v>2</v>
      </c>
      <c r="D18" s="20">
        <v>4</v>
      </c>
      <c r="E18" s="27">
        <f t="shared" si="2"/>
        <v>8</v>
      </c>
      <c r="F18" s="27" t="str">
        <f t="shared" si="3"/>
        <v>Medium</v>
      </c>
      <c r="G18" s="23" t="s">
        <v>150</v>
      </c>
      <c r="H18" s="23" t="s">
        <v>149</v>
      </c>
      <c r="I18" s="42">
        <v>1</v>
      </c>
      <c r="J18" s="42">
        <v>4</v>
      </c>
      <c r="K18" s="44">
        <f t="shared" si="0"/>
        <v>4</v>
      </c>
      <c r="L18" s="44" t="str">
        <f t="shared" si="1"/>
        <v>Low</v>
      </c>
    </row>
    <row r="19" spans="1:12" ht="60" customHeight="1" x14ac:dyDescent="0.35">
      <c r="A19" s="49" t="s">
        <v>56</v>
      </c>
      <c r="B19" s="25" t="s">
        <v>57</v>
      </c>
      <c r="C19" s="24">
        <v>3</v>
      </c>
      <c r="D19" s="24">
        <v>4</v>
      </c>
      <c r="E19" s="26">
        <f t="shared" si="2"/>
        <v>12</v>
      </c>
      <c r="F19" s="26" t="str">
        <f t="shared" si="3"/>
        <v>High</v>
      </c>
      <c r="G19" s="23" t="s">
        <v>131</v>
      </c>
      <c r="H19" s="23" t="s">
        <v>132</v>
      </c>
      <c r="I19" s="42">
        <v>2</v>
      </c>
      <c r="J19" s="42">
        <v>4</v>
      </c>
      <c r="K19" s="43">
        <f t="shared" si="0"/>
        <v>8</v>
      </c>
      <c r="L19" s="43" t="str">
        <f t="shared" si="1"/>
        <v>Medium</v>
      </c>
    </row>
    <row r="20" spans="1:12" ht="60" customHeight="1" x14ac:dyDescent="0.35">
      <c r="A20" s="49" t="s">
        <v>58</v>
      </c>
      <c r="B20" s="21" t="s">
        <v>133</v>
      </c>
      <c r="C20" s="20">
        <v>3</v>
      </c>
      <c r="D20" s="20">
        <v>4</v>
      </c>
      <c r="E20" s="26">
        <f t="shared" si="2"/>
        <v>12</v>
      </c>
      <c r="F20" s="26" t="str">
        <f t="shared" si="3"/>
        <v>High</v>
      </c>
      <c r="G20" s="23" t="s">
        <v>134</v>
      </c>
      <c r="H20" s="23" t="s">
        <v>91</v>
      </c>
      <c r="I20" s="42">
        <v>2</v>
      </c>
      <c r="J20" s="42">
        <v>4</v>
      </c>
      <c r="K20" s="43">
        <f t="shared" si="0"/>
        <v>8</v>
      </c>
      <c r="L20" s="43" t="str">
        <f t="shared" si="1"/>
        <v>Medium</v>
      </c>
    </row>
    <row r="21" spans="1:12" ht="60" customHeight="1" x14ac:dyDescent="0.35">
      <c r="A21" s="49" t="s">
        <v>59</v>
      </c>
      <c r="B21" s="25" t="s">
        <v>75</v>
      </c>
      <c r="C21" s="24">
        <v>3</v>
      </c>
      <c r="D21" s="24">
        <v>3</v>
      </c>
      <c r="E21" s="27">
        <f t="shared" si="2"/>
        <v>9</v>
      </c>
      <c r="F21" s="27" t="str">
        <f t="shared" si="3"/>
        <v>Medium</v>
      </c>
      <c r="G21" s="23" t="s">
        <v>151</v>
      </c>
      <c r="H21" s="23" t="s">
        <v>152</v>
      </c>
      <c r="I21" s="42">
        <v>2</v>
      </c>
      <c r="J21" s="42">
        <v>3</v>
      </c>
      <c r="K21" s="43">
        <f t="shared" si="0"/>
        <v>6</v>
      </c>
      <c r="L21" s="43" t="str">
        <f t="shared" si="1"/>
        <v>Medium</v>
      </c>
    </row>
    <row r="22" spans="1:12" ht="58" x14ac:dyDescent="0.35">
      <c r="A22" s="49" t="s">
        <v>60</v>
      </c>
      <c r="B22" s="30" t="s">
        <v>79</v>
      </c>
      <c r="C22" s="20">
        <v>2</v>
      </c>
      <c r="D22" s="20">
        <v>4</v>
      </c>
      <c r="E22" s="27">
        <f t="shared" si="2"/>
        <v>8</v>
      </c>
      <c r="F22" s="27" t="str">
        <f t="shared" si="3"/>
        <v>Medium</v>
      </c>
      <c r="G22" s="23" t="s">
        <v>146</v>
      </c>
      <c r="H22" s="23" t="s">
        <v>147</v>
      </c>
      <c r="I22" s="42">
        <v>1</v>
      </c>
      <c r="J22" s="42">
        <v>4</v>
      </c>
      <c r="K22" s="44">
        <f t="shared" si="0"/>
        <v>4</v>
      </c>
      <c r="L22" s="44" t="str">
        <f t="shared" si="1"/>
        <v>Low</v>
      </c>
    </row>
    <row r="23" spans="1:12" ht="60" customHeight="1" x14ac:dyDescent="0.35">
      <c r="A23" s="49" t="s">
        <v>61</v>
      </c>
      <c r="B23" s="28" t="s">
        <v>78</v>
      </c>
      <c r="C23" s="24">
        <v>2</v>
      </c>
      <c r="D23" s="24">
        <v>3</v>
      </c>
      <c r="E23" s="27">
        <f t="shared" si="2"/>
        <v>6</v>
      </c>
      <c r="F23" s="27" t="str">
        <f t="shared" si="3"/>
        <v>Medium</v>
      </c>
      <c r="G23" s="23" t="s">
        <v>142</v>
      </c>
      <c r="H23" s="23" t="s">
        <v>92</v>
      </c>
      <c r="I23" s="42">
        <v>1</v>
      </c>
      <c r="J23" s="42">
        <v>3</v>
      </c>
      <c r="K23" s="44">
        <f t="shared" si="0"/>
        <v>3</v>
      </c>
      <c r="L23" s="44" t="str">
        <f t="shared" si="1"/>
        <v>Low</v>
      </c>
    </row>
    <row r="24" spans="1:12" ht="60" customHeight="1" x14ac:dyDescent="0.35">
      <c r="A24" s="49" t="s">
        <v>62</v>
      </c>
      <c r="B24" s="21" t="s">
        <v>141</v>
      </c>
      <c r="C24" s="20">
        <v>2</v>
      </c>
      <c r="D24" s="20">
        <v>4</v>
      </c>
      <c r="E24" s="27">
        <f t="shared" si="2"/>
        <v>8</v>
      </c>
      <c r="F24" s="27" t="str">
        <f t="shared" si="3"/>
        <v>Medium</v>
      </c>
      <c r="G24" s="23" t="s">
        <v>144</v>
      </c>
      <c r="H24" s="23" t="s">
        <v>145</v>
      </c>
      <c r="I24" s="42">
        <v>1</v>
      </c>
      <c r="J24" s="42">
        <v>4</v>
      </c>
      <c r="K24" s="44">
        <f t="shared" si="0"/>
        <v>4</v>
      </c>
      <c r="L24" s="44" t="str">
        <f t="shared" si="1"/>
        <v>Low</v>
      </c>
    </row>
    <row r="25" spans="1:12" ht="60" customHeight="1" x14ac:dyDescent="0.35">
      <c r="A25" s="50" t="s">
        <v>63</v>
      </c>
      <c r="B25" s="31" t="s">
        <v>64</v>
      </c>
      <c r="C25" s="32">
        <v>2</v>
      </c>
      <c r="D25" s="32">
        <v>4</v>
      </c>
      <c r="E25" s="27">
        <f>C25*D25</f>
        <v>8</v>
      </c>
      <c r="F25" s="27" t="str">
        <f>IF(E25&gt;=20,"Critical",IF(E25&gt;=10,"High",IF(E25&gt;=5,"Medium","Low")))</f>
        <v>Medium</v>
      </c>
      <c r="G25" s="23" t="s">
        <v>148</v>
      </c>
      <c r="H25" s="23" t="s">
        <v>143</v>
      </c>
      <c r="I25" s="42">
        <v>1</v>
      </c>
      <c r="J25" s="42">
        <v>4</v>
      </c>
      <c r="K25" s="44">
        <f t="shared" si="0"/>
        <v>4</v>
      </c>
      <c r="L25" s="44" t="str">
        <f t="shared" si="1"/>
        <v>Low</v>
      </c>
    </row>
    <row r="26" spans="1:12" ht="60" customHeight="1" x14ac:dyDescent="0.35">
      <c r="A26" s="49" t="s">
        <v>65</v>
      </c>
      <c r="B26" s="21" t="s">
        <v>66</v>
      </c>
      <c r="C26" s="20">
        <v>1</v>
      </c>
      <c r="D26" s="20">
        <v>5</v>
      </c>
      <c r="E26" s="27">
        <f t="shared" si="2"/>
        <v>5</v>
      </c>
      <c r="F26" s="27" t="str">
        <f t="shared" si="3"/>
        <v>Medium</v>
      </c>
      <c r="G26" s="23" t="s">
        <v>140</v>
      </c>
      <c r="H26" s="23" t="s">
        <v>93</v>
      </c>
      <c r="I26" s="42">
        <v>1</v>
      </c>
      <c r="J26" s="42">
        <v>5</v>
      </c>
      <c r="K26" s="43">
        <f t="shared" si="0"/>
        <v>5</v>
      </c>
      <c r="L26" s="43" t="str">
        <f t="shared" si="1"/>
        <v>Medium</v>
      </c>
    </row>
    <row r="27" spans="1:12" ht="60" customHeight="1" x14ac:dyDescent="0.35">
      <c r="A27" s="49" t="s">
        <v>80</v>
      </c>
      <c r="B27" s="29" t="s">
        <v>85</v>
      </c>
      <c r="C27" s="24">
        <v>3</v>
      </c>
      <c r="D27" s="24">
        <v>4</v>
      </c>
      <c r="E27" s="26">
        <f t="shared" si="2"/>
        <v>12</v>
      </c>
      <c r="F27" s="26" t="str">
        <f t="shared" si="3"/>
        <v>High</v>
      </c>
      <c r="G27" s="23" t="s">
        <v>138</v>
      </c>
      <c r="H27" s="23" t="s">
        <v>139</v>
      </c>
      <c r="I27" s="42">
        <v>2</v>
      </c>
      <c r="J27" s="42">
        <v>3</v>
      </c>
      <c r="K27" s="43">
        <f t="shared" si="0"/>
        <v>6</v>
      </c>
      <c r="L27" s="43" t="str">
        <f t="shared" si="1"/>
        <v>Medium</v>
      </c>
    </row>
    <row r="28" spans="1:12" ht="60" customHeight="1" x14ac:dyDescent="0.35">
      <c r="A28" s="49" t="s">
        <v>81</v>
      </c>
      <c r="B28" s="29" t="s">
        <v>86</v>
      </c>
      <c r="C28" s="20">
        <v>2</v>
      </c>
      <c r="D28" s="20">
        <v>4</v>
      </c>
      <c r="E28" s="27">
        <f t="shared" si="2"/>
        <v>8</v>
      </c>
      <c r="F28" s="27" t="str">
        <f t="shared" si="3"/>
        <v>Medium</v>
      </c>
      <c r="G28" s="23" t="s">
        <v>136</v>
      </c>
      <c r="H28" s="23" t="s">
        <v>137</v>
      </c>
      <c r="I28" s="42">
        <v>1</v>
      </c>
      <c r="J28" s="42">
        <v>4</v>
      </c>
      <c r="K28" s="44">
        <f t="shared" si="0"/>
        <v>4</v>
      </c>
      <c r="L28" s="44" t="str">
        <f t="shared" si="1"/>
        <v>Low</v>
      </c>
    </row>
    <row r="29" spans="1:12" ht="60" customHeight="1" x14ac:dyDescent="0.35">
      <c r="A29" s="49" t="s">
        <v>82</v>
      </c>
      <c r="B29" s="29" t="s">
        <v>87</v>
      </c>
      <c r="C29" s="24">
        <v>2</v>
      </c>
      <c r="D29" s="24">
        <v>4</v>
      </c>
      <c r="E29" s="27">
        <f t="shared" si="2"/>
        <v>8</v>
      </c>
      <c r="F29" s="27" t="str">
        <f t="shared" si="3"/>
        <v>Medium</v>
      </c>
      <c r="G29" s="23" t="s">
        <v>94</v>
      </c>
      <c r="H29" s="23" t="s">
        <v>95</v>
      </c>
      <c r="I29" s="42">
        <v>1</v>
      </c>
      <c r="J29" s="42">
        <v>4</v>
      </c>
      <c r="K29" s="44">
        <f t="shared" si="0"/>
        <v>4</v>
      </c>
      <c r="L29" s="44" t="str">
        <f t="shared" si="1"/>
        <v>Low</v>
      </c>
    </row>
    <row r="30" spans="1:12" ht="60" customHeight="1" x14ac:dyDescent="0.35">
      <c r="A30" s="49" t="s">
        <v>83</v>
      </c>
      <c r="B30" s="29" t="s">
        <v>88</v>
      </c>
      <c r="C30" s="20">
        <v>2</v>
      </c>
      <c r="D30" s="20">
        <v>5</v>
      </c>
      <c r="E30" s="26">
        <f t="shared" si="2"/>
        <v>10</v>
      </c>
      <c r="F30" s="26" t="str">
        <f t="shared" si="3"/>
        <v>High</v>
      </c>
      <c r="G30" s="23" t="s">
        <v>96</v>
      </c>
      <c r="H30" s="23" t="s">
        <v>135</v>
      </c>
      <c r="I30" s="42">
        <v>2</v>
      </c>
      <c r="J30" s="42">
        <v>5</v>
      </c>
      <c r="K30" s="45">
        <f t="shared" si="0"/>
        <v>10</v>
      </c>
      <c r="L30" s="45" t="str">
        <f t="shared" si="1"/>
        <v>High</v>
      </c>
    </row>
    <row r="31" spans="1:12" ht="60" customHeight="1" x14ac:dyDescent="0.35">
      <c r="A31" s="49" t="s">
        <v>84</v>
      </c>
      <c r="B31" s="29" t="s">
        <v>89</v>
      </c>
      <c r="C31" s="24">
        <v>2</v>
      </c>
      <c r="D31" s="24">
        <v>4</v>
      </c>
      <c r="E31" s="27">
        <f t="shared" si="2"/>
        <v>8</v>
      </c>
      <c r="F31" s="27" t="str">
        <f t="shared" si="3"/>
        <v>Medium</v>
      </c>
      <c r="G31" s="23" t="s">
        <v>120</v>
      </c>
      <c r="H31" s="23" t="s">
        <v>97</v>
      </c>
      <c r="I31" s="42">
        <v>1</v>
      </c>
      <c r="J31" s="42">
        <v>4</v>
      </c>
      <c r="K31" s="44">
        <f t="shared" si="0"/>
        <v>4</v>
      </c>
      <c r="L31" s="44" t="str">
        <f t="shared" si="1"/>
        <v>Low</v>
      </c>
    </row>
    <row r="32" spans="1:12" x14ac:dyDescent="0.35">
      <c r="A32" s="19"/>
    </row>
    <row r="34" spans="2:6" x14ac:dyDescent="0.35">
      <c r="B34" s="14" t="s">
        <v>7</v>
      </c>
      <c r="C34" s="15" t="s">
        <v>8</v>
      </c>
      <c r="D34" s="16" t="s">
        <v>9</v>
      </c>
      <c r="E34" s="17" t="s">
        <v>10</v>
      </c>
      <c r="F34" s="18" t="s">
        <v>11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B459-2D2F-4CD6-BFC1-2C52145800DF}">
  <dimension ref="A1:J31"/>
  <sheetViews>
    <sheetView zoomScale="73"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10" customWidth="1"/>
    <col min="2" max="2" width="61.81640625" customWidth="1"/>
    <col min="3" max="4" width="13.08984375" customWidth="1"/>
    <col min="5" max="6" width="16.36328125" customWidth="1"/>
    <col min="7" max="8" width="13.08984375" customWidth="1"/>
    <col min="9" max="10" width="16.36328125" customWidth="1"/>
  </cols>
  <sheetData>
    <row r="1" spans="1:10" ht="30" customHeight="1" x14ac:dyDescent="0.35">
      <c r="A1" s="13" t="s">
        <v>0</v>
      </c>
      <c r="B1" s="13" t="s">
        <v>1</v>
      </c>
      <c r="C1" s="13" t="s">
        <v>38</v>
      </c>
      <c r="D1" s="13" t="s">
        <v>39</v>
      </c>
      <c r="E1" s="13" t="s">
        <v>40</v>
      </c>
      <c r="F1" s="13" t="s">
        <v>41</v>
      </c>
      <c r="G1" s="33" t="s">
        <v>153</v>
      </c>
      <c r="H1" s="33" t="s">
        <v>154</v>
      </c>
      <c r="I1" s="33" t="s">
        <v>155</v>
      </c>
      <c r="J1" s="33" t="s">
        <v>156</v>
      </c>
    </row>
    <row r="2" spans="1:10" ht="60" customHeight="1" x14ac:dyDescent="0.35">
      <c r="A2" s="38" t="str">
        <f>'Risk Register'!A2</f>
        <v>TR-01</v>
      </c>
      <c r="B2" s="34" t="str">
        <f>'Risk Register'!B2</f>
        <v>Capture mechanism fails to secure tumbling target (1 rpm about arbitrary axis)</v>
      </c>
      <c r="C2" s="38">
        <f>'Risk Register'!C2</f>
        <v>4</v>
      </c>
      <c r="D2" s="38">
        <f>'Risk Register'!D2</f>
        <v>5</v>
      </c>
      <c r="E2" s="38">
        <f>'Risk Register'!E2</f>
        <v>20</v>
      </c>
      <c r="F2" s="35" t="str">
        <f>'Risk Register'!F2</f>
        <v>Critical</v>
      </c>
      <c r="G2" s="38"/>
      <c r="H2" s="38"/>
      <c r="I2" s="38" t="str">
        <f t="shared" ref="I2:I31" si="0">IF(AND(G2&lt;&gt;"",H2&lt;&gt;""),G2*H2,"")</f>
        <v/>
      </c>
      <c r="J2" s="40" t="str">
        <f t="shared" ref="J2:J31" si="1">IF(I2="","",IF(I2&gt;=20,"Critical",IF(I2&gt;=10,"High",IF(I2&gt;=5,"Medium","Low"))))</f>
        <v/>
      </c>
    </row>
    <row r="3" spans="1:10" ht="60" customHeight="1" x14ac:dyDescent="0.35">
      <c r="A3" s="39" t="str">
        <f>'Risk Register'!A3</f>
        <v>TR-02</v>
      </c>
      <c r="B3" s="36" t="str">
        <f>'Risk Register'!B3</f>
        <v>Debris generation during disassembly (fragments &gt; 1 cm released into GEO belt) - Recycling Hub</v>
      </c>
      <c r="C3" s="39">
        <f>'Risk Register'!C3</f>
        <v>3</v>
      </c>
      <c r="D3" s="39">
        <f>'Risk Register'!D3</f>
        <v>5</v>
      </c>
      <c r="E3" s="39">
        <f>'Risk Register'!E3</f>
        <v>15</v>
      </c>
      <c r="F3" s="37" t="str">
        <f>'Risk Register'!F3</f>
        <v>High</v>
      </c>
      <c r="G3" s="39"/>
      <c r="H3" s="39"/>
      <c r="I3" s="39" t="str">
        <f t="shared" si="0"/>
        <v/>
      </c>
      <c r="J3" s="41" t="str">
        <f t="shared" si="1"/>
        <v/>
      </c>
    </row>
    <row r="4" spans="1:10" ht="60" customHeight="1" x14ac:dyDescent="0.35">
      <c r="A4" s="38" t="str">
        <f>'Risk Register'!A4</f>
        <v>TR-03</v>
      </c>
      <c r="B4" s="34" t="str">
        <f>'Risk Register'!B4</f>
        <v>Autonomous Failure Management (AFM) failure during close-proximity operations (range &lt; 100 m) leads to a collision with the target</v>
      </c>
      <c r="C4" s="38">
        <f>'Risk Register'!C4</f>
        <v>3</v>
      </c>
      <c r="D4" s="38">
        <f>'Risk Register'!D4</f>
        <v>5</v>
      </c>
      <c r="E4" s="38">
        <f>'Risk Register'!E4</f>
        <v>15</v>
      </c>
      <c r="F4" s="35" t="str">
        <f>'Risk Register'!F4</f>
        <v>High</v>
      </c>
      <c r="G4" s="38"/>
      <c r="H4" s="38"/>
      <c r="I4" s="38" t="str">
        <f t="shared" si="0"/>
        <v/>
      </c>
      <c r="J4" s="40" t="str">
        <f t="shared" si="1"/>
        <v/>
      </c>
    </row>
    <row r="5" spans="1:10" ht="60" customHeight="1" x14ac:dyDescent="0.35">
      <c r="A5" s="39" t="str">
        <f>'Risk Register'!A5</f>
        <v>TR-04</v>
      </c>
      <c r="B5" s="36" t="str">
        <f>'Risk Register'!B5</f>
        <v>Propellant depletion before completion of all 5 capture missions</v>
      </c>
      <c r="C5" s="39">
        <f>'Risk Register'!C5</f>
        <v>3</v>
      </c>
      <c r="D5" s="39">
        <f>'Risk Register'!D5</f>
        <v>4</v>
      </c>
      <c r="E5" s="39">
        <f>'Risk Register'!E5</f>
        <v>12</v>
      </c>
      <c r="F5" s="37" t="str">
        <f>'Risk Register'!F5</f>
        <v>High</v>
      </c>
      <c r="G5" s="39"/>
      <c r="H5" s="39"/>
      <c r="I5" s="39" t="str">
        <f t="shared" si="0"/>
        <v/>
      </c>
      <c r="J5" s="41" t="str">
        <f t="shared" si="1"/>
        <v/>
      </c>
    </row>
    <row r="6" spans="1:10" ht="60" customHeight="1" x14ac:dyDescent="0.35">
      <c r="A6" s="38" t="str">
        <f>'Risk Register'!A6</f>
        <v>TR-05</v>
      </c>
      <c r="B6" s="34" t="str">
        <f>'Risk Register'!B6</f>
        <v>Navigation sensor failure during final approach (range &lt; 10 m) causes position error exceeding 1 m</v>
      </c>
      <c r="C6" s="38">
        <f>'Risk Register'!C6</f>
        <v>3</v>
      </c>
      <c r="D6" s="38">
        <f>'Risk Register'!D6</f>
        <v>4</v>
      </c>
      <c r="E6" s="38">
        <f>'Risk Register'!E6</f>
        <v>12</v>
      </c>
      <c r="F6" s="35" t="str">
        <f>'Risk Register'!F6</f>
        <v>High</v>
      </c>
      <c r="G6" s="38"/>
      <c r="H6" s="38"/>
      <c r="I6" s="38" t="str">
        <f t="shared" si="0"/>
        <v/>
      </c>
      <c r="J6" s="40" t="str">
        <f t="shared" si="1"/>
        <v/>
      </c>
    </row>
    <row r="7" spans="1:10" ht="60" customHeight="1" x14ac:dyDescent="0.35">
      <c r="A7" s="39" t="str">
        <f>'Risk Register'!A7</f>
        <v>TR-06</v>
      </c>
      <c r="B7" s="36" t="str">
        <f>'Risk Register'!B7</f>
        <v>Thermal control failure causes electronics or propellants to exceed operational temperature range</v>
      </c>
      <c r="C7" s="39">
        <f>'Risk Register'!C7</f>
        <v>2</v>
      </c>
      <c r="D7" s="39">
        <f>'Risk Register'!D7</f>
        <v>4</v>
      </c>
      <c r="E7" s="39">
        <f>'Risk Register'!E7</f>
        <v>8</v>
      </c>
      <c r="F7" s="37" t="str">
        <f>'Risk Register'!F7</f>
        <v>Medium</v>
      </c>
      <c r="G7" s="39"/>
      <c r="H7" s="39"/>
      <c r="I7" s="39" t="str">
        <f t="shared" si="0"/>
        <v/>
      </c>
      <c r="J7" s="41" t="str">
        <f t="shared" si="1"/>
        <v/>
      </c>
    </row>
    <row r="8" spans="1:10" ht="60" customHeight="1" x14ac:dyDescent="0.35">
      <c r="A8" s="38" t="str">
        <f>'Risk Register'!A8</f>
        <v>TR-07</v>
      </c>
      <c r="B8" s="34" t="str">
        <f>'Risk Register'!B8</f>
        <v>Propulsion failure during critical phase: Loss of the main propulsion system during
approach.</v>
      </c>
      <c r="C8" s="38">
        <f>'Risk Register'!C8</f>
        <v>2</v>
      </c>
      <c r="D8" s="38">
        <f>'Risk Register'!D8</f>
        <v>5</v>
      </c>
      <c r="E8" s="38">
        <f>'Risk Register'!E8</f>
        <v>10</v>
      </c>
      <c r="F8" s="35" t="str">
        <f>'Risk Register'!F8</f>
        <v>High</v>
      </c>
      <c r="G8" s="38"/>
      <c r="H8" s="38"/>
      <c r="I8" s="38" t="str">
        <f t="shared" si="0"/>
        <v/>
      </c>
      <c r="J8" s="40" t="str">
        <f t="shared" si="1"/>
        <v/>
      </c>
    </row>
    <row r="9" spans="1:10" ht="60" customHeight="1" x14ac:dyDescent="0.35">
      <c r="A9" s="39" t="str">
        <f>'Risk Register'!A9</f>
        <v>TR-08</v>
      </c>
      <c r="B9" s="36" t="str">
        <f>'Risk Register'!B9</f>
        <v>EOL spacecraft remains in GEO protected zone (35,586–35,986 km) after mission end instead of being transferred to the Recycling Hub</v>
      </c>
      <c r="C9" s="39">
        <f>'Risk Register'!C9</f>
        <v>2</v>
      </c>
      <c r="D9" s="39">
        <f>'Risk Register'!D9</f>
        <v>5</v>
      </c>
      <c r="E9" s="39">
        <f>'Risk Register'!E9</f>
        <v>10</v>
      </c>
      <c r="F9" s="37" t="str">
        <f>'Risk Register'!F9</f>
        <v>High</v>
      </c>
      <c r="G9" s="39"/>
      <c r="H9" s="39"/>
      <c r="I9" s="39" t="str">
        <f t="shared" si="0"/>
        <v/>
      </c>
      <c r="J9" s="41" t="str">
        <f t="shared" si="1"/>
        <v/>
      </c>
    </row>
    <row r="10" spans="1:10" ht="60" customHeight="1" x14ac:dyDescent="0.35">
      <c r="A10" s="38" t="str">
        <f>'Risk Register'!A10</f>
        <v>TR-09</v>
      </c>
      <c r="B10" s="34" t="str">
        <f>'Risk Register'!B10</f>
        <v>Micrometeoroid or orbital debris impact penetrates propulsion in GEO graveyard environment</v>
      </c>
      <c r="C10" s="38">
        <f>'Risk Register'!C10</f>
        <v>2</v>
      </c>
      <c r="D10" s="38">
        <f>'Risk Register'!D10</f>
        <v>4</v>
      </c>
      <c r="E10" s="38">
        <f>'Risk Register'!E10</f>
        <v>8</v>
      </c>
      <c r="F10" s="35" t="str">
        <f>'Risk Register'!F10</f>
        <v>Medium</v>
      </c>
      <c r="G10" s="38"/>
      <c r="H10" s="38"/>
      <c r="I10" s="38" t="str">
        <f t="shared" si="0"/>
        <v/>
      </c>
      <c r="J10" s="40" t="str">
        <f t="shared" si="1"/>
        <v/>
      </c>
    </row>
    <row r="11" spans="1:10" ht="60" customHeight="1" x14ac:dyDescent="0.35">
      <c r="A11" s="39" t="str">
        <f>'Risk Register'!A11</f>
        <v>TR-10</v>
      </c>
      <c r="B11" s="36" t="str">
        <f>'Risk Register'!B11</f>
        <v>Communication blackout during a critical autonomous sequence causes loss of ground override capability</v>
      </c>
      <c r="C11" s="39">
        <f>'Risk Register'!C11</f>
        <v>3</v>
      </c>
      <c r="D11" s="39">
        <f>'Risk Register'!D11</f>
        <v>3</v>
      </c>
      <c r="E11" s="39">
        <f>'Risk Register'!E11</f>
        <v>9</v>
      </c>
      <c r="F11" s="37" t="str">
        <f>'Risk Register'!F11</f>
        <v>Medium</v>
      </c>
      <c r="G11" s="39"/>
      <c r="H11" s="39"/>
      <c r="I11" s="39" t="str">
        <f t="shared" si="0"/>
        <v/>
      </c>
      <c r="J11" s="41" t="str">
        <f t="shared" si="1"/>
        <v/>
      </c>
    </row>
    <row r="12" spans="1:10" ht="60" customHeight="1" x14ac:dyDescent="0.35">
      <c r="A12" s="38" t="str">
        <f>'Risk Register'!A12</f>
        <v>TR-11</v>
      </c>
      <c r="B12" s="34" t="str">
        <f>'Risk Register'!B12</f>
        <v>Solar panel damage during contact with tumbling target reduces power by &gt; 50%</v>
      </c>
      <c r="C12" s="38">
        <f>'Risk Register'!C12</f>
        <v>3</v>
      </c>
      <c r="D12" s="38">
        <f>'Risk Register'!D12</f>
        <v>4</v>
      </c>
      <c r="E12" s="38">
        <f>'Risk Register'!E12</f>
        <v>12</v>
      </c>
      <c r="F12" s="35" t="str">
        <f>'Risk Register'!F12</f>
        <v>High</v>
      </c>
      <c r="G12" s="38"/>
      <c r="H12" s="38"/>
      <c r="I12" s="38" t="str">
        <f t="shared" si="0"/>
        <v/>
      </c>
      <c r="J12" s="40" t="str">
        <f t="shared" si="1"/>
        <v/>
      </c>
    </row>
    <row r="13" spans="1:10" ht="60" customHeight="1" x14ac:dyDescent="0.35">
      <c r="A13" s="39" t="str">
        <f>'Risk Register'!A13</f>
        <v>TR-12</v>
      </c>
      <c r="B13" s="36" t="str">
        <f>'Risk Register'!B13</f>
        <v>Target spacecraft misidentified prior to capture, causing a failed grapple or structural overload</v>
      </c>
      <c r="C13" s="39">
        <f>'Risk Register'!C13</f>
        <v>3</v>
      </c>
      <c r="D13" s="39">
        <f>'Risk Register'!D13</f>
        <v>4</v>
      </c>
      <c r="E13" s="39">
        <f>'Risk Register'!E13</f>
        <v>12</v>
      </c>
      <c r="F13" s="37" t="str">
        <f>'Risk Register'!F13</f>
        <v>High</v>
      </c>
      <c r="G13" s="39"/>
      <c r="H13" s="39"/>
      <c r="I13" s="39" t="str">
        <f t="shared" si="0"/>
        <v/>
      </c>
      <c r="J13" s="41" t="str">
        <f t="shared" si="1"/>
        <v/>
      </c>
    </row>
    <row r="14" spans="1:10" ht="60" customHeight="1" x14ac:dyDescent="0.35">
      <c r="A14" s="38" t="str">
        <f>'Risk Register'!A14</f>
        <v>TR-13</v>
      </c>
      <c r="B14" s="34" t="str">
        <f>'Risk Register'!B14</f>
        <v>Low Technology Readiness Level (TRL) of critical enabling technologies (capture mechanism, disassembly tool) at mission development start</v>
      </c>
      <c r="C14" s="38">
        <f>'Risk Register'!C14</f>
        <v>4</v>
      </c>
      <c r="D14" s="38">
        <f>'Risk Register'!D14</f>
        <v>4</v>
      </c>
      <c r="E14" s="38">
        <f>'Risk Register'!E14</f>
        <v>16</v>
      </c>
      <c r="F14" s="35" t="str">
        <f>'Risk Register'!F14</f>
        <v>High</v>
      </c>
      <c r="G14" s="38"/>
      <c r="H14" s="38"/>
      <c r="I14" s="38" t="str">
        <f t="shared" si="0"/>
        <v/>
      </c>
      <c r="J14" s="40" t="str">
        <f t="shared" si="1"/>
        <v/>
      </c>
    </row>
    <row r="15" spans="1:10" ht="60" customHeight="1" x14ac:dyDescent="0.35">
      <c r="A15" s="39" t="str">
        <f>'Risk Register'!A15</f>
        <v>TR-14</v>
      </c>
      <c r="B15" s="36" t="str">
        <f>'Risk Register'!B15</f>
        <v>Collision with an active GEO spacecraft during transfer or Rendezvous and Proximity Operations (RPO)</v>
      </c>
      <c r="C15" s="39">
        <f>'Risk Register'!C15</f>
        <v>2</v>
      </c>
      <c r="D15" s="39">
        <f>'Risk Register'!D15</f>
        <v>5</v>
      </c>
      <c r="E15" s="39">
        <f>'Risk Register'!E15</f>
        <v>10</v>
      </c>
      <c r="F15" s="37" t="str">
        <f>'Risk Register'!F15</f>
        <v>High</v>
      </c>
      <c r="G15" s="39"/>
      <c r="H15" s="39"/>
      <c r="I15" s="39" t="str">
        <f t="shared" si="0"/>
        <v/>
      </c>
      <c r="J15" s="41" t="str">
        <f t="shared" si="1"/>
        <v/>
      </c>
    </row>
    <row r="16" spans="1:10" ht="60" customHeight="1" x14ac:dyDescent="0.35">
      <c r="A16" s="38" t="str">
        <f>'Risk Register'!A16</f>
        <v>TR-15</v>
      </c>
      <c r="B16" s="34" t="str">
        <f>'Risk Register'!B16</f>
        <v>Total mission cost exceeds the €500 Million boundary due to technology development overruns</v>
      </c>
      <c r="C16" s="38">
        <f>'Risk Register'!C16</f>
        <v>3</v>
      </c>
      <c r="D16" s="38">
        <f>'Risk Register'!D16</f>
        <v>4</v>
      </c>
      <c r="E16" s="38">
        <f>'Risk Register'!E16</f>
        <v>12</v>
      </c>
      <c r="F16" s="35" t="str">
        <f>'Risk Register'!F16</f>
        <v>High</v>
      </c>
      <c r="G16" s="38"/>
      <c r="H16" s="38"/>
      <c r="I16" s="38" t="str">
        <f t="shared" si="0"/>
        <v/>
      </c>
      <c r="J16" s="40" t="str">
        <f t="shared" si="1"/>
        <v/>
      </c>
    </row>
    <row r="17" spans="1:10" ht="60" customHeight="1" x14ac:dyDescent="0.35">
      <c r="A17" s="39" t="str">
        <f>'Risk Register'!A17</f>
        <v>TR-16</v>
      </c>
      <c r="B17" s="36" t="str">
        <f>'Risk Register'!B17</f>
        <v>GEO radiation-induced damage to the onboard computer, causing software corruption</v>
      </c>
      <c r="C17" s="39">
        <f>'Risk Register'!C17</f>
        <v>3</v>
      </c>
      <c r="D17" s="39">
        <f>'Risk Register'!D17</f>
        <v>4</v>
      </c>
      <c r="E17" s="39">
        <f>'Risk Register'!E17</f>
        <v>12</v>
      </c>
      <c r="F17" s="37" t="str">
        <f>'Risk Register'!F17</f>
        <v>High</v>
      </c>
      <c r="G17" s="39"/>
      <c r="H17" s="39"/>
      <c r="I17" s="39" t="str">
        <f t="shared" si="0"/>
        <v/>
      </c>
      <c r="J17" s="41" t="str">
        <f t="shared" si="1"/>
        <v/>
      </c>
    </row>
    <row r="18" spans="1:10" ht="60" customHeight="1" x14ac:dyDescent="0.35">
      <c r="A18" s="38" t="str">
        <f>'Risk Register'!A18</f>
        <v>TR-17</v>
      </c>
      <c r="B18" s="34" t="str">
        <f>'Risk Register'!B18</f>
        <v>Electrostatic discharge (ESD) event due to GEO plasma charging damages electronics or proximity sensors</v>
      </c>
      <c r="C18" s="38">
        <f>'Risk Register'!C18</f>
        <v>2</v>
      </c>
      <c r="D18" s="38">
        <f>'Risk Register'!D18</f>
        <v>4</v>
      </c>
      <c r="E18" s="38">
        <f>'Risk Register'!E18</f>
        <v>8</v>
      </c>
      <c r="F18" s="35" t="str">
        <f>'Risk Register'!F18</f>
        <v>Medium</v>
      </c>
      <c r="G18" s="38"/>
      <c r="H18" s="38"/>
      <c r="I18" s="38" t="str">
        <f t="shared" si="0"/>
        <v/>
      </c>
      <c r="J18" s="40" t="str">
        <f t="shared" si="1"/>
        <v/>
      </c>
    </row>
    <row r="19" spans="1:10" ht="60" customHeight="1" x14ac:dyDescent="0.35">
      <c r="A19" s="39" t="str">
        <f>'Risk Register'!A19</f>
        <v>TR-18</v>
      </c>
      <c r="B19" s="36" t="str">
        <f>'Risk Register'!B19</f>
        <v>Residual toxic or reactive propellant in target spacecraft creates hazard during disassembly operations</v>
      </c>
      <c r="C19" s="39">
        <f>'Risk Register'!C19</f>
        <v>3</v>
      </c>
      <c r="D19" s="39">
        <f>'Risk Register'!D19</f>
        <v>4</v>
      </c>
      <c r="E19" s="39">
        <f>'Risk Register'!E19</f>
        <v>12</v>
      </c>
      <c r="F19" s="37" t="str">
        <f>'Risk Register'!F19</f>
        <v>High</v>
      </c>
      <c r="G19" s="39"/>
      <c r="H19" s="39"/>
      <c r="I19" s="39" t="str">
        <f t="shared" si="0"/>
        <v/>
      </c>
      <c r="J19" s="41" t="str">
        <f t="shared" si="1"/>
        <v/>
      </c>
    </row>
    <row r="20" spans="1:10" ht="60" customHeight="1" x14ac:dyDescent="0.35">
      <c r="A20" s="38" t="str">
        <f>'Risk Register'!A20</f>
        <v>TR-19</v>
      </c>
      <c r="B20" s="34" t="str">
        <f>'Risk Register'!B20</f>
        <v>ADCS lacks sufficient torque to de-tumble the combined spacecraft+target body within a 30-minute window (can change the time interval just randomish realistic time set)</v>
      </c>
      <c r="C20" s="38">
        <f>'Risk Register'!C20</f>
        <v>3</v>
      </c>
      <c r="D20" s="38">
        <f>'Risk Register'!D20</f>
        <v>4</v>
      </c>
      <c r="E20" s="38">
        <f>'Risk Register'!E20</f>
        <v>12</v>
      </c>
      <c r="F20" s="35" t="str">
        <f>'Risk Register'!F20</f>
        <v>High</v>
      </c>
      <c r="G20" s="38"/>
      <c r="H20" s="38"/>
      <c r="I20" s="38" t="str">
        <f t="shared" si="0"/>
        <v/>
      </c>
      <c r="J20" s="40" t="str">
        <f t="shared" si="1"/>
        <v/>
      </c>
    </row>
    <row r="21" spans="1:10" ht="60" customHeight="1" x14ac:dyDescent="0.35">
      <c r="A21" s="39" t="str">
        <f>'Risk Register'!A21</f>
        <v>TR-20</v>
      </c>
      <c r="B21" s="36" t="str">
        <f>'Risk Register'!B21</f>
        <v>Star tracker blinding by the Sun, Moon or Earth during an eclipse transition causes loss of attitude knowledge</v>
      </c>
      <c r="C21" s="39">
        <f>'Risk Register'!C21</f>
        <v>3</v>
      </c>
      <c r="D21" s="39">
        <f>'Risk Register'!D21</f>
        <v>3</v>
      </c>
      <c r="E21" s="39">
        <f>'Risk Register'!E21</f>
        <v>9</v>
      </c>
      <c r="F21" s="37" t="str">
        <f>'Risk Register'!F21</f>
        <v>Medium</v>
      </c>
      <c r="G21" s="39"/>
      <c r="H21" s="39"/>
      <c r="I21" s="39" t="str">
        <f t="shared" si="0"/>
        <v/>
      </c>
      <c r="J21" s="41" t="str">
        <f t="shared" si="1"/>
        <v/>
      </c>
    </row>
    <row r="22" spans="1:10" ht="60" customHeight="1" x14ac:dyDescent="0.35">
      <c r="A22" s="38" t="str">
        <f>'Risk Register'!A22</f>
        <v>TR-21</v>
      </c>
      <c r="B22" s="34" t="str">
        <f>'Risk Register'!B22</f>
        <v>Thruster Exhaust Contact: Hot exhaust gases emitted during proximity operations melt or structurally weaken target surfaces, leading to fragmentation or unpredictable attitude dynamics that prevent successful capture.</v>
      </c>
      <c r="C22" s="38">
        <f>'Risk Register'!C22</f>
        <v>2</v>
      </c>
      <c r="D22" s="38">
        <f>'Risk Register'!D22</f>
        <v>4</v>
      </c>
      <c r="E22" s="38">
        <f>'Risk Register'!E22</f>
        <v>8</v>
      </c>
      <c r="F22" s="35" t="str">
        <f>'Risk Register'!F22</f>
        <v>Medium</v>
      </c>
      <c r="G22" s="38"/>
      <c r="H22" s="38"/>
      <c r="I22" s="38" t="str">
        <f t="shared" si="0"/>
        <v/>
      </c>
      <c r="J22" s="40" t="str">
        <f t="shared" si="1"/>
        <v/>
      </c>
    </row>
    <row r="23" spans="1:10" ht="60" customHeight="1" x14ac:dyDescent="0.35">
      <c r="A23" s="39" t="str">
        <f>'Risk Register'!A23</f>
        <v>TR-22</v>
      </c>
      <c r="B23" s="36" t="str">
        <f>'Risk Register'!B23</f>
        <v>Timeline extension: Additional approach attempts, or corrections, may significantly extend the overall mission duration and resource use</v>
      </c>
      <c r="C23" s="39">
        <f>'Risk Register'!C23</f>
        <v>2</v>
      </c>
      <c r="D23" s="39">
        <f>'Risk Register'!D23</f>
        <v>3</v>
      </c>
      <c r="E23" s="39">
        <f>'Risk Register'!E23</f>
        <v>6</v>
      </c>
      <c r="F23" s="37" t="str">
        <f>'Risk Register'!F23</f>
        <v>Medium</v>
      </c>
      <c r="G23" s="39"/>
      <c r="H23" s="39"/>
      <c r="I23" s="39" t="str">
        <f t="shared" si="0"/>
        <v/>
      </c>
      <c r="J23" s="41" t="str">
        <f t="shared" si="1"/>
        <v/>
      </c>
    </row>
    <row r="24" spans="1:10" ht="60" customHeight="1" x14ac:dyDescent="0.35">
      <c r="A24" s="38" t="str">
        <f>'Risk Register'!A24</f>
        <v>TR-23</v>
      </c>
      <c r="B24" s="34" t="str">
        <f>'Risk Register'!B24</f>
        <v>On-board storage structure for extracted components fails under repeated GEO thermal cycling (-180 to +150 °C) RANGE OF TEMPREATURES GOD DID</v>
      </c>
      <c r="C24" s="38">
        <f>'Risk Register'!C24</f>
        <v>2</v>
      </c>
      <c r="D24" s="38">
        <f>'Risk Register'!D24</f>
        <v>4</v>
      </c>
      <c r="E24" s="38">
        <f>'Risk Register'!E24</f>
        <v>8</v>
      </c>
      <c r="F24" s="35" t="str">
        <f>'Risk Register'!F24</f>
        <v>Medium</v>
      </c>
      <c r="G24" s="38"/>
      <c r="H24" s="38"/>
      <c r="I24" s="38" t="str">
        <f t="shared" si="0"/>
        <v/>
      </c>
      <c r="J24" s="40" t="str">
        <f t="shared" si="1"/>
        <v/>
      </c>
    </row>
    <row r="25" spans="1:10" ht="60" customHeight="1" x14ac:dyDescent="0.35">
      <c r="A25" s="39" t="str">
        <f>'Risk Register'!A25</f>
        <v>TR-24</v>
      </c>
      <c r="B25" s="36" t="str">
        <f>'Risk Register'!B25</f>
        <v>GNC mode transition failure (transfer→RPO→capture→departure) leaves spacecraft in undefined state</v>
      </c>
      <c r="C25" s="39">
        <f>'Risk Register'!C25</f>
        <v>2</v>
      </c>
      <c r="D25" s="39">
        <f>'Risk Register'!D25</f>
        <v>4</v>
      </c>
      <c r="E25" s="39">
        <f>'Risk Register'!E25</f>
        <v>8</v>
      </c>
      <c r="F25" s="37" t="str">
        <f>'Risk Register'!F25</f>
        <v>Medium</v>
      </c>
      <c r="G25" s="39"/>
      <c r="H25" s="39"/>
      <c r="I25" s="39" t="str">
        <f t="shared" si="0"/>
        <v/>
      </c>
      <c r="J25" s="41" t="str">
        <f t="shared" si="1"/>
        <v/>
      </c>
    </row>
    <row r="26" spans="1:10" ht="60" customHeight="1" x14ac:dyDescent="0.35">
      <c r="A26" s="38" t="str">
        <f>'Risk Register'!A26</f>
        <v>TR-25</v>
      </c>
      <c r="B26" s="34" t="str">
        <f>'Risk Register'!B26</f>
        <v>Launch vehicle anomaly or delay results in loss of spacecraft or failure to reach target GEO orbit</v>
      </c>
      <c r="C26" s="38">
        <f>'Risk Register'!C26</f>
        <v>1</v>
      </c>
      <c r="D26" s="38">
        <f>'Risk Register'!D26</f>
        <v>5</v>
      </c>
      <c r="E26" s="38">
        <f>'Risk Register'!E26</f>
        <v>5</v>
      </c>
      <c r="F26" s="35" t="str">
        <f>'Risk Register'!F26</f>
        <v>Medium</v>
      </c>
      <c r="G26" s="38"/>
      <c r="H26" s="38"/>
      <c r="I26" s="38" t="str">
        <f t="shared" si="0"/>
        <v/>
      </c>
      <c r="J26" s="40" t="str">
        <f t="shared" si="1"/>
        <v/>
      </c>
    </row>
    <row r="27" spans="1:10" ht="60" customHeight="1" x14ac:dyDescent="0.35">
      <c r="A27" s="39" t="str">
        <f>'Risk Register'!A27</f>
        <v>TR-26</v>
      </c>
      <c r="B27" s="36" t="str">
        <f>'Risk Register'!B27</f>
        <v>Unknown or unexpected centre-of-mass offset in captured debris causes uncontrolled attitude divergence of the combined system during transport</v>
      </c>
      <c r="C27" s="39">
        <f>'Risk Register'!C27</f>
        <v>3</v>
      </c>
      <c r="D27" s="39">
        <f>'Risk Register'!D27</f>
        <v>4</v>
      </c>
      <c r="E27" s="39">
        <f>'Risk Register'!E27</f>
        <v>12</v>
      </c>
      <c r="F27" s="37" t="str">
        <f>'Risk Register'!F27</f>
        <v>High</v>
      </c>
      <c r="G27" s="39"/>
      <c r="H27" s="39"/>
      <c r="I27" s="39" t="str">
        <f t="shared" si="0"/>
        <v/>
      </c>
      <c r="J27" s="41" t="str">
        <f t="shared" si="1"/>
        <v/>
      </c>
    </row>
    <row r="28" spans="1:10" ht="60" customHeight="1" x14ac:dyDescent="0.35">
      <c r="A28" s="38" t="str">
        <f>'Risk Register'!A28</f>
        <v>TR-27</v>
      </c>
      <c r="B28" s="34" t="str">
        <f>'Risk Register'!B28</f>
        <v>Recycling hub loses station-keeping capability and drifts from its operational position, preventing tug rendezvous and debris handover</v>
      </c>
      <c r="C28" s="38">
        <f>'Risk Register'!C28</f>
        <v>2</v>
      </c>
      <c r="D28" s="38">
        <f>'Risk Register'!D28</f>
        <v>4</v>
      </c>
      <c r="E28" s="38">
        <f>'Risk Register'!E28</f>
        <v>8</v>
      </c>
      <c r="F28" s="35" t="str">
        <f>'Risk Register'!F28</f>
        <v>Medium</v>
      </c>
      <c r="G28" s="38"/>
      <c r="H28" s="38"/>
      <c r="I28" s="38" t="str">
        <f t="shared" si="0"/>
        <v/>
      </c>
      <c r="J28" s="40" t="str">
        <f t="shared" si="1"/>
        <v/>
      </c>
    </row>
    <row r="29" spans="1:10" ht="60" customHeight="1" x14ac:dyDescent="0.35">
      <c r="A29" s="39" t="str">
        <f>'Risk Register'!A29</f>
        <v>TR-28</v>
      </c>
      <c r="B29" s="36" t="str">
        <f>'Risk Register'!B29</f>
        <v>Docking mechanism fails during tug return to recycling hub with debris attached, preventing debris handover and blocking subsequent capture cycles</v>
      </c>
      <c r="C29" s="39">
        <f>'Risk Register'!C29</f>
        <v>2</v>
      </c>
      <c r="D29" s="39">
        <f>'Risk Register'!D29</f>
        <v>4</v>
      </c>
      <c r="E29" s="39">
        <f>'Risk Register'!E29</f>
        <v>8</v>
      </c>
      <c r="F29" s="37" t="str">
        <f>'Risk Register'!F29</f>
        <v>Medium</v>
      </c>
      <c r="G29" s="39"/>
      <c r="H29" s="39"/>
      <c r="I29" s="39" t="str">
        <f t="shared" si="0"/>
        <v/>
      </c>
      <c r="J29" s="41" t="str">
        <f t="shared" si="1"/>
        <v/>
      </c>
    </row>
    <row r="30" spans="1:10" ht="60" customHeight="1" x14ac:dyDescent="0.35">
      <c r="A30" s="38" t="str">
        <f>'Risk Register'!A30</f>
        <v>TR-29</v>
      </c>
      <c r="B30" s="34" t="str">
        <f>'Risk Register'!B30</f>
        <v>Structural fragmentation of target spacecraft during capture due to undetected material fatigue or microcracking, generating secondary debris</v>
      </c>
      <c r="C30" s="38">
        <f>'Risk Register'!C30</f>
        <v>2</v>
      </c>
      <c r="D30" s="38">
        <f>'Risk Register'!D30</f>
        <v>5</v>
      </c>
      <c r="E30" s="38">
        <f>'Risk Register'!E30</f>
        <v>10</v>
      </c>
      <c r="F30" s="35" t="str">
        <f>'Risk Register'!F30</f>
        <v>High</v>
      </c>
      <c r="G30" s="38"/>
      <c r="H30" s="38"/>
      <c r="I30" s="38" t="str">
        <f t="shared" si="0"/>
        <v/>
      </c>
      <c r="J30" s="40" t="str">
        <f t="shared" si="1"/>
        <v/>
      </c>
    </row>
    <row r="31" spans="1:10" ht="60" customHeight="1" x14ac:dyDescent="0.35">
      <c r="A31" s="39" t="str">
        <f>'Risk Register'!A31</f>
        <v>TR-30</v>
      </c>
      <c r="B31" s="36" t="str">
        <f>'Risk Register'!B31</f>
        <v>Ground mission operations centre failure causes extended loss of spacecraft commanding and telemetry monitoring during an active operational phase</v>
      </c>
      <c r="C31" s="39">
        <f>'Risk Register'!C31</f>
        <v>2</v>
      </c>
      <c r="D31" s="39">
        <f>'Risk Register'!D31</f>
        <v>4</v>
      </c>
      <c r="E31" s="39">
        <f>'Risk Register'!E31</f>
        <v>8</v>
      </c>
      <c r="F31" s="37" t="str">
        <f>'Risk Register'!F31</f>
        <v>Medium</v>
      </c>
      <c r="G31" s="39"/>
      <c r="H31" s="39"/>
      <c r="I31" s="39" t="str">
        <f t="shared" si="0"/>
        <v/>
      </c>
      <c r="J31" s="41" t="str">
        <f t="shared" si="1"/>
        <v/>
      </c>
    </row>
  </sheetData>
  <conditionalFormatting sqref="F2:F31">
    <cfRule type="containsText" dxfId="7" priority="1" operator="containsText" text="Critical">
      <formula>NOT(ISERROR(SEARCH("Critical",F2)))</formula>
    </cfRule>
    <cfRule type="containsText" dxfId="6" priority="2" operator="containsText" text="High">
      <formula>NOT(ISERROR(SEARCH("High",F2)))</formula>
    </cfRule>
    <cfRule type="containsText" dxfId="5" priority="3" operator="containsText" text="Medium">
      <formula>NOT(ISERROR(SEARCH("Medium",F2)))</formula>
    </cfRule>
    <cfRule type="containsText" dxfId="4" priority="4" operator="containsText" text="Low">
      <formula>NOT(ISERROR(SEARCH("Low",F2)))</formula>
    </cfRule>
  </conditionalFormatting>
  <conditionalFormatting sqref="J2:J31">
    <cfRule type="containsText" dxfId="3" priority="5" operator="containsText" text="Critical">
      <formula>NOT(ISERROR(SEARCH("Critical",J2)))</formula>
    </cfRule>
    <cfRule type="containsText" dxfId="2" priority="6" operator="containsText" text="High">
      <formula>NOT(ISERROR(SEARCH("High",J2)))</formula>
    </cfRule>
    <cfRule type="containsText" dxfId="1" priority="7" operator="containsText" text="Medium">
      <formula>NOT(ISERROR(SEARCH("Medium",J2)))</formula>
    </cfRule>
    <cfRule type="containsText" dxfId="0" priority="8" operator="containsText" text="Low">
      <formula>NOT(ISERROR(SEARCH("Low",J2)))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="71" zoomScaleNormal="100" workbookViewId="0">
      <selection activeCell="E5" sqref="E5"/>
    </sheetView>
  </sheetViews>
  <sheetFormatPr defaultColWidth="8.6328125" defaultRowHeight="14.5" x14ac:dyDescent="0.35"/>
  <cols>
    <col min="1" max="1" width="6" customWidth="1"/>
    <col min="2" max="6" width="18" customWidth="1"/>
  </cols>
  <sheetData>
    <row r="1" spans="1:7" ht="21.75" customHeight="1" x14ac:dyDescent="0.35">
      <c r="A1" s="46" t="s">
        <v>12</v>
      </c>
      <c r="B1" s="46"/>
      <c r="C1" s="46"/>
      <c r="D1" s="46"/>
      <c r="E1" s="46"/>
      <c r="F1" s="46"/>
      <c r="G1" s="46"/>
    </row>
    <row r="2" spans="1:7" ht="19.5" customHeight="1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7" ht="43.5" customHeight="1" x14ac:dyDescent="0.35">
      <c r="A3" s="1" t="s">
        <v>19</v>
      </c>
      <c r="B3" s="3"/>
      <c r="C3" s="4"/>
      <c r="D3" s="5" t="s">
        <v>4</v>
      </c>
      <c r="E3" s="6"/>
      <c r="F3" s="6"/>
    </row>
    <row r="4" spans="1:7" ht="43.5" customHeight="1" x14ac:dyDescent="0.35">
      <c r="A4" s="1" t="s">
        <v>20</v>
      </c>
      <c r="B4" s="7"/>
      <c r="C4" s="3"/>
      <c r="D4" s="4"/>
      <c r="E4" s="5" t="s">
        <v>21</v>
      </c>
      <c r="F4" s="6"/>
    </row>
    <row r="5" spans="1:7" ht="43.5" customHeight="1" x14ac:dyDescent="0.35">
      <c r="A5" s="1" t="s">
        <v>22</v>
      </c>
      <c r="B5" s="7"/>
      <c r="C5" s="3"/>
      <c r="D5" s="8" t="s">
        <v>23</v>
      </c>
      <c r="E5" s="5" t="s">
        <v>24</v>
      </c>
      <c r="F5" s="5" t="s">
        <v>5</v>
      </c>
    </row>
    <row r="6" spans="1:7" ht="43.5" customHeight="1" x14ac:dyDescent="0.35">
      <c r="A6" s="1" t="s">
        <v>25</v>
      </c>
      <c r="B6" s="7"/>
      <c r="C6" s="7"/>
      <c r="D6" s="3"/>
      <c r="E6" s="8" t="s">
        <v>6</v>
      </c>
      <c r="F6" s="4"/>
    </row>
    <row r="7" spans="1:7" ht="43.5" customHeight="1" x14ac:dyDescent="0.35">
      <c r="A7" s="1" t="s">
        <v>26</v>
      </c>
      <c r="B7" s="7"/>
      <c r="C7" s="7"/>
      <c r="D7" s="7"/>
      <c r="E7" s="7"/>
      <c r="F7" s="3"/>
    </row>
    <row r="9" spans="1:7" x14ac:dyDescent="0.35">
      <c r="B9" s="47" t="s">
        <v>27</v>
      </c>
      <c r="C9" s="47"/>
      <c r="D9" s="47"/>
      <c r="E9" s="47"/>
      <c r="F9" s="47"/>
    </row>
    <row r="11" spans="1:7" ht="18" customHeight="1" x14ac:dyDescent="0.35">
      <c r="A11" s="2" t="s">
        <v>7</v>
      </c>
      <c r="B11" s="9" t="s">
        <v>8</v>
      </c>
      <c r="C11" s="10" t="s">
        <v>9</v>
      </c>
      <c r="D11" s="11" t="s">
        <v>10</v>
      </c>
      <c r="E11" s="12" t="s">
        <v>11</v>
      </c>
    </row>
  </sheetData>
  <mergeCells count="2">
    <mergeCell ref="A1:G1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sqref="A1:G1"/>
    </sheetView>
  </sheetViews>
  <sheetFormatPr defaultColWidth="8.6328125" defaultRowHeight="14.5" x14ac:dyDescent="0.35"/>
  <cols>
    <col min="1" max="1" width="6" customWidth="1"/>
    <col min="2" max="6" width="18" customWidth="1"/>
  </cols>
  <sheetData>
    <row r="1" spans="1:7" ht="21.75" customHeight="1" x14ac:dyDescent="0.35">
      <c r="A1" s="46" t="s">
        <v>28</v>
      </c>
      <c r="B1" s="46"/>
      <c r="C1" s="46"/>
      <c r="D1" s="46"/>
      <c r="E1" s="46"/>
      <c r="F1" s="46"/>
      <c r="G1" s="46"/>
    </row>
    <row r="2" spans="1:7" ht="19.5" customHeight="1" x14ac:dyDescent="0.3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spans="1:7" ht="43.5" customHeight="1" x14ac:dyDescent="0.35">
      <c r="A3" s="1" t="s">
        <v>19</v>
      </c>
      <c r="B3" s="3"/>
      <c r="C3" s="4"/>
      <c r="D3" s="4"/>
      <c r="E3" s="6"/>
      <c r="F3" s="6"/>
    </row>
    <row r="4" spans="1:7" ht="43.5" customHeight="1" x14ac:dyDescent="0.35">
      <c r="A4" s="1" t="s">
        <v>20</v>
      </c>
      <c r="B4" s="7"/>
      <c r="C4" s="3"/>
      <c r="D4" s="4"/>
      <c r="E4" s="4"/>
      <c r="F4" s="6"/>
    </row>
    <row r="5" spans="1:7" ht="43.5" customHeight="1" x14ac:dyDescent="0.35">
      <c r="A5" s="1" t="s">
        <v>22</v>
      </c>
      <c r="B5" s="7"/>
      <c r="C5" s="3"/>
      <c r="D5" s="8" t="s">
        <v>4</v>
      </c>
      <c r="E5" s="4"/>
      <c r="F5" s="4"/>
    </row>
    <row r="6" spans="1:7" ht="43.5" customHeight="1" x14ac:dyDescent="0.35">
      <c r="A6" s="1" t="s">
        <v>25</v>
      </c>
      <c r="B6" s="7"/>
      <c r="C6" s="7"/>
      <c r="D6" s="8" t="s">
        <v>29</v>
      </c>
      <c r="E6" s="8" t="s">
        <v>24</v>
      </c>
      <c r="F6" s="5" t="s">
        <v>5</v>
      </c>
    </row>
    <row r="7" spans="1:7" ht="43.5" customHeight="1" x14ac:dyDescent="0.35">
      <c r="A7" s="1" t="s">
        <v>26</v>
      </c>
      <c r="B7" s="7"/>
      <c r="C7" s="7"/>
      <c r="D7" s="7"/>
      <c r="E7" s="7"/>
      <c r="F7" s="3"/>
    </row>
    <row r="9" spans="1:7" x14ac:dyDescent="0.35">
      <c r="B9" s="47" t="s">
        <v>27</v>
      </c>
      <c r="C9" s="47"/>
      <c r="D9" s="47"/>
      <c r="E9" s="47"/>
      <c r="F9" s="47"/>
    </row>
    <row r="11" spans="1:7" ht="18" customHeight="1" x14ac:dyDescent="0.35">
      <c r="A11" s="2" t="s">
        <v>7</v>
      </c>
      <c r="B11" s="9" t="s">
        <v>8</v>
      </c>
      <c r="C11" s="10" t="s">
        <v>9</v>
      </c>
      <c r="D11" s="11" t="s">
        <v>10</v>
      </c>
      <c r="E11" s="12" t="s">
        <v>11</v>
      </c>
    </row>
  </sheetData>
  <mergeCells count="2">
    <mergeCell ref="A1:G1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Register</vt:lpstr>
      <vt:lpstr>Risk Summary</vt:lpstr>
      <vt:lpstr>Pre-Mitigation Map</vt:lpstr>
      <vt:lpstr>Post-Mitigation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Diogo Ying</cp:lastModifiedBy>
  <cp:revision>0</cp:revision>
  <dcterms:created xsi:type="dcterms:W3CDTF">2026-04-21T12:28:40Z</dcterms:created>
  <dcterms:modified xsi:type="dcterms:W3CDTF">2026-04-30T08:34:55Z</dcterms:modified>
  <dc:language>en-US</dc:language>
</cp:coreProperties>
</file>